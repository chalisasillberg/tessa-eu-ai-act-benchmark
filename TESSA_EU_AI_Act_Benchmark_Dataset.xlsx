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scs486/Documents/GENT/TESSA/Evaluation/"/>
    </mc:Choice>
  </mc:AlternateContent>
  <xr:revisionPtr revIDLastSave="0" documentId="13_ncr:1_{D4F384CB-908D-E64F-A53D-59BE1B0FE90E}" xr6:coauthVersionLast="47" xr6:coauthVersionMax="47" xr10:uidLastSave="{00000000-0000-0000-0000-000000000000}"/>
  <bookViews>
    <workbookView xWindow="32160" yWindow="2500" windowWidth="40200" windowHeight="23660" activeTab="1" xr2:uid="{00000000-000D-0000-FFFF-FFFF00000000}"/>
  </bookViews>
  <sheets>
    <sheet name="Evaluation by researcher" sheetId="1" r:id="rId1"/>
    <sheet name="Evaluation Result by researcher" sheetId="2" r:id="rId2"/>
    <sheet name="Review Framework" sheetId="4" r:id="rId3"/>
    <sheet name="Evaluation by lawyer" sheetId="8" r:id="rId4"/>
    <sheet name="Evaluation Result by lawyer" sheetId="10" r:id="rId5"/>
  </sheets>
  <definedNames>
    <definedName name="_xlnm._FilterDatabase" localSheetId="0" hidden="1">'Evaluation by researcher'!$A$2:$V$102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4" i="2"/>
  <c r="C4" i="2" s="1"/>
  <c r="B3" i="2"/>
  <c r="C3" i="2" s="1"/>
  <c r="B5" i="10"/>
  <c r="C5" i="10" s="1"/>
  <c r="B4" i="10"/>
  <c r="C4" i="10" s="1"/>
  <c r="B3" i="10"/>
  <c r="C3" i="10" s="1"/>
  <c r="D19" i="2"/>
  <c r="C19" i="2"/>
  <c r="B19" i="2"/>
  <c r="G18" i="2"/>
  <c r="F18" i="2"/>
  <c r="E18" i="2"/>
  <c r="D16" i="2"/>
  <c r="C16" i="2"/>
  <c r="B16" i="2"/>
  <c r="D17" i="2"/>
  <c r="C17" i="2"/>
  <c r="B17" i="2"/>
  <c r="D15" i="2"/>
  <c r="C15" i="2"/>
  <c r="D19" i="10"/>
  <c r="C19" i="10"/>
  <c r="D17" i="10"/>
  <c r="C17" i="10"/>
  <c r="G18" i="10"/>
  <c r="F18" i="10"/>
  <c r="E18" i="10"/>
  <c r="B19" i="10"/>
  <c r="B17" i="10"/>
  <c r="D16" i="10"/>
  <c r="C16" i="10"/>
  <c r="B16" i="10"/>
  <c r="D15" i="10"/>
  <c r="C15" i="10"/>
  <c r="B15" i="10"/>
  <c r="B5" i="2"/>
  <c r="C5" i="2" s="1"/>
</calcChain>
</file>

<file path=xl/sharedStrings.xml><?xml version="1.0" encoding="utf-8"?>
<sst xmlns="http://schemas.openxmlformats.org/spreadsheetml/2006/main" count="3791" uniqueCount="970">
  <si>
    <t>Step 1</t>
  </si>
  <si>
    <t>Step 2</t>
  </si>
  <si>
    <t>Step 2 Evaluation</t>
  </si>
  <si>
    <t>Step 3 Educational AI Governance Review (Five-Part Framework)</t>
  </si>
  <si>
    <t>Scenario</t>
  </si>
  <si>
    <t>Purpose</t>
  </si>
  <si>
    <t>Why it matter</t>
  </si>
  <si>
    <t>ID</t>
  </si>
  <si>
    <t>Question</t>
  </si>
  <si>
    <t>Book Chapter / Section</t>
  </si>
  <si>
    <t>Official Source</t>
  </si>
  <si>
    <t>TESSA Response Summary</t>
  </si>
  <si>
    <t>Expected Outcome (Ground Truth)</t>
  </si>
  <si>
    <t>Match Level</t>
  </si>
  <si>
    <t>Short Reviewer Note</t>
  </si>
  <si>
    <t>Legal Alignment</t>
  </si>
  <si>
    <t>Legal Alignment Justification</t>
  </si>
  <si>
    <t>Educational Clarity</t>
  </si>
  <si>
    <t>Educational Clarity Justification</t>
  </si>
  <si>
    <t>Governance Suitability</t>
  </si>
  <si>
    <t>Governance Suitability Justification</t>
  </si>
  <si>
    <t>Hallucination Risk</t>
  </si>
  <si>
    <t>Hallucination Risk Justification</t>
  </si>
  <si>
    <t>Overall Assessment</t>
  </si>
  <si>
    <t>Concise Reviewer Note</t>
  </si>
  <si>
    <t>AI literacy</t>
  </si>
  <si>
    <t>Tests whether TESSA can correctly explain core EU AI Act terminology and concepts</t>
  </si>
  <si>
    <t>Demonstrates foundational legal and conceptual accuracy</t>
  </si>
  <si>
    <t>A1</t>
  </si>
  <si>
    <t>What is an AI system under the EU AI Act?</t>
  </si>
  <si>
    <t>Chapter 1 — Introduction → EU AI Act scope and AI system definition context</t>
  </si>
  <si>
    <t>EU AI Act — Article 3(1): Definition of an AI System</t>
  </si>
  <si>
    <t>TESSA explains that an AI system is software capable of generating outputs such as predictions, recommendations, decisions, or content that influence people or environments. It emphasizes that organizations should first determine whether their software qualifies as AI, identify the system’s risk level, and clarify their role as provider, deployer, distributor, or importer.</t>
  </si>
  <si>
    <t>Yes</t>
  </si>
  <si>
    <t>Accurately captures the functional definition and links it to risk classification and operator roles.</t>
  </si>
  <si>
    <t>Strong</t>
  </si>
  <si>
    <t>The response is legally consistent with the expected EU AI Act interpretation for this AI literacy scenario. It does not show major contradiction with the official source.</t>
  </si>
  <si>
    <t>The response is clear, accessible, and understandable for students, SMEs, or non-legal users. It explains the issue in practical language.</t>
  </si>
  <si>
    <t>The response supports responsible AI governance by encouraging risk awareness, transparency, oversight, or compliance-oriented action proportionate to the scenario.</t>
  </si>
  <si>
    <t>Low Risk</t>
  </si>
  <si>
    <t>No significant unsupported or fabricated legal/compliance claims are detected in relation to the expected outcome.</t>
  </si>
  <si>
    <t>Overall, the response is reliable for educational compliance guidance and aligns well with the expected EU AI Act interpretation.</t>
  </si>
  <si>
    <t>A2</t>
  </si>
  <si>
    <t>What is the difference between minimal-risk and high-risk AI?</t>
  </si>
  <si>
    <t>Chapter 1 — Risk Categories under the EU AI Act; Chapter 3.1 — Risk-Based Regulatory Compliance Systems</t>
  </si>
  <si>
    <t>EU AI Act — Article 6: Classification Rules for High-Risk AI Systems; Annex III: High-Risk Use Cases</t>
  </si>
  <si>
    <t>TESSA explains that minimal-risk AI has low potential impact and therefore faces few mandatory obligations, while high-risk AI may significantly affect rights, safety, or opportunities and requires stricter compliance measures such as documentation, monitoring, fairness checks, transparency, and human oversight.</t>
  </si>
  <si>
    <t>Correctly distinguishes low-obligation minimal-risk systems from high-risk systems requiring structured compliance.</t>
  </si>
  <si>
    <t>A3</t>
  </si>
  <si>
    <t>What are prohibited AI practices under the EU AI Act?</t>
  </si>
  <si>
    <t>Chapter 1 — Unacceptable-Risk AI Systems</t>
  </si>
  <si>
    <t>EU AI Act — Article 5: Prohibited AI Practices</t>
  </si>
  <si>
    <t>TESSA describes prohibited AI practices as unacceptable-risk systems that conflict with fundamental rights, human dignity, or public safety. Examples include subliminal manipulation, exploitative AI, social scoring, predictive policing, prohibited biometric categorization, emotion recognition in schools or workplaces, facial image scraping, and mass surveillance.</t>
  </si>
  <si>
    <t>Partial</t>
  </si>
  <si>
    <t>Mostly aligned, but the summary uses broad phrasing such as mass surveillance and should tie each example more precisely to Article 5 conditions and exceptions.</t>
  </si>
  <si>
    <t>Acceptable</t>
  </si>
  <si>
    <t>The response is mostly aligned with the official source, but it is incomplete or ambiguous. Mostly aligned, but the summary uses broad phrasing such as mass surveillance and should tie each example more precisely to Article 5 conditions and exceptions.</t>
  </si>
  <si>
    <t>Medium Risk</t>
  </si>
  <si>
    <t>Some overgeneralisation, ambiguity, or unsupported assumption is present. Mostly aligned, but the summary uses broad phrasing such as mass surveillance and should tie each example more precisely to Article 5 conditions and exceptions.</t>
  </si>
  <si>
    <t>Overall, the response is usable for educational guidance, but it needs refinement to improve legal precision or governance specificity. Mostly aligned, but the summary uses broad phrasing such as mass surveillance and should tie each example more precisely to Article 5 conditions and exceptions.</t>
  </si>
  <si>
    <t>A4</t>
  </si>
  <si>
    <t>What is a GPAI (General-Purpose AI) model?</t>
  </si>
  <si>
    <t>Chapter 3.1 — Governance of Advanced AI Models and Systems</t>
  </si>
  <si>
    <t>EU AI Act — Article 3(63): Definition of a General-Purpose AI Model</t>
  </si>
  <si>
    <t>TESSA explains that GPAI models are broad-purpose AI systems capable of performing many different tasks across multiple applications. It notes that risk classification depends on how the model is used rather than the model itself, meaning the same GPAI model could fall into minimal-risk or high-risk categories depending on the deployment context.</t>
  </si>
  <si>
    <t>Correctly captures broad-purpose capability, but conflates GPAI models with AI systems and oversimplifies model-level obligations versus deployment-risk classification.</t>
  </si>
  <si>
    <t>The response is mostly aligned with the official source, but it is incomplete or ambiguous. Correctly captures broad-purpose capability, but conflates GPAI models with AI systems and oversimplifies model-level obligations versus deployment-risk classification.</t>
  </si>
  <si>
    <t>The response is broadly governance-oriented, but it would benefit from more concrete practical safeguards, role clarity, or proportional next steps.</t>
  </si>
  <si>
    <t>Some overgeneralisation, ambiguity, or unsupported assumption is present. Correctly captures broad-purpose capability, but conflates GPAI models with AI systems and oversimplifies model-level obligations versus deployment-risk classification.</t>
  </si>
  <si>
    <t>Overall, the response is usable for educational guidance, but it needs refinement to improve legal precision or governance specificity. Correctly captures broad-purpose capability, but conflates GPAI models with AI systems and oversimplifies model-level obligations versus deployment-risk classification.</t>
  </si>
  <si>
    <t>A5</t>
  </si>
  <si>
    <t>What transparency obligations apply to AI systems?</t>
  </si>
  <si>
    <t>Chapter 2.3 — Tools for AI Compliance and Ethical AI Practices</t>
  </si>
  <si>
    <t>EU AI Act — Article 13: Transparency and Provision of Information to Users; Article 50: Transparency Obligations for Certain AI Systems</t>
  </si>
  <si>
    <t>TESSA explains that transparency obligations ensure users know when they interact with AI, understand when AI-generated content is used, and can recognize AI-supported decisions. It highlights disclosure requirements, explainability, documentation, transparency in data handling, labeling AI-generated content, and enabling human review of AI outcomes.</t>
  </si>
  <si>
    <t>Substantively sound but blends high-risk Article 13 duties with Article 50 disclosure duties without clearly separating when each applies.</t>
  </si>
  <si>
    <t>The response is mostly aligned with the official source, but it is incomplete or ambiguous. Substantively sound but blends high-risk Article 13 duties with Article 50 disclosure duties without clearly separating when each applies.</t>
  </si>
  <si>
    <t>Some overgeneralisation, ambiguity, or unsupported assumption is present. Substantively sound but blends high-risk Article 13 duties with Article 50 disclosure duties without clearly separating when each applies.</t>
  </si>
  <si>
    <t>Overall, the response is usable for educational guidance, but it needs refinement to improve legal precision or governance specificity. Substantively sound but blends high-risk Article 13 duties with Article 50 disclosure duties without clearly separating when each applies.</t>
  </si>
  <si>
    <t>A6</t>
  </si>
  <si>
    <t>What is human oversight in AI systems?</t>
  </si>
  <si>
    <t>Chapter 2.1.2 — Reducing Liability Through AI Risk Mitigation</t>
  </si>
  <si>
    <t>EU AI Act — Article 14: Human Oversight Requirements for High-Risk AI Systems</t>
  </si>
  <si>
    <t>TESSA explains that human oversight means humans must remain able to supervise, review, intervene in, or override AI decisions when necessary. It emphasizes that oversight is especially important for high-risk AI systems affecting areas such as employment, healthcare, education, or finance.</t>
  </si>
  <si>
    <t>Accurately states the core oversight function and identifies its special importance for high-risk contexts.</t>
  </si>
  <si>
    <t>A7</t>
  </si>
  <si>
    <t>What does AI literacy mean under the EU AI Act?</t>
  </si>
  <si>
    <t>Chapter 3.2 — Ethical Frameworks and Responsible AI Governance</t>
  </si>
  <si>
    <t>EU AI Act — Article 4: AI Literacy</t>
  </si>
  <si>
    <t>TESSA describes AI literacy as the ability of individuals within an organization to understand AI systems, recognize risks and limitations, and use AI responsibly. It emphasizes awareness of risk classifications, fairness, transparency, ethical governance, and human oversight responsibilities.</t>
  </si>
  <si>
    <t>Aligned with Article 4 and the guidance’s emphasis on responsible, risk-aware AI use.</t>
  </si>
  <si>
    <t>A8</t>
  </si>
  <si>
    <t>What is biometric identification in AI systems?</t>
  </si>
  <si>
    <t>Chapter 1 — Biometric Identification and Sensitive AI Uses</t>
  </si>
  <si>
    <t>EU AI Act — Article 3: Definitions Related to Biometric Identification; Annex III, Point 1: Biometric Identification and Categorisation of Natural Persons</t>
  </si>
  <si>
    <t>TESSA explains that biometric identification involves using AI to identify individuals through physical or behavioral characteristics such as facial recognition, fingerprints, iris scans, or voice recognition. It highlights that biometric AI systems are highly sensitive because they may affect privacy, civil liberties, and fundamental rights.</t>
  </si>
  <si>
    <t>Correct on examples and sensitivity, but lacks the legal distinction between identification and verification, which affects risk classification.</t>
  </si>
  <si>
    <t>The response is mostly aligned with the official source, but it is incomplete or ambiguous. Correct on examples and sensitivity, but lacks the legal distinction between identification and verification, which affects risk classification.</t>
  </si>
  <si>
    <t>Some overgeneralisation, ambiguity, or unsupported assumption is present. Correct on examples and sensitivity, but lacks the legal distinction between identification and verification, which affects risk classification.</t>
  </si>
  <si>
    <t>Overall, the response is usable for educational guidance, but it needs refinement to improve legal precision or governance specificity. Correct on examples and sensitivity, but lacks the legal distinction between identification and verification, which affects risk classification.</t>
  </si>
  <si>
    <t>A9</t>
  </si>
  <si>
    <t>What is the purpose of Annex III in the EU AI Act?</t>
  </si>
  <si>
    <t>Chapter 3.1 — Classification of High-Risk AI Systems</t>
  </si>
  <si>
    <t>EU AI Act — Article 6(2): High-Risk Classification Rules; Annex III: High-Risk AI Use Cases</t>
  </si>
  <si>
    <t>TESSA explains that Annex III identifies categories of high-risk AI systems and helps organizations determine whether stricter compliance obligations apply. It highlights AI systems used in employment, education, healthcare, essential services, and safety-critical environments as examples connected to Annex III classification.</t>
  </si>
  <si>
    <t>Correctly explains Annex III as the practical high-risk classification reference.</t>
  </si>
  <si>
    <t>A10</t>
  </si>
  <si>
    <t>Who can be considered a provider or deployer of an AI system?</t>
  </si>
  <si>
    <t>Chapter 2.1.1 — Understanding AI Liability under the EU AI Act</t>
  </si>
  <si>
    <t>EU AI Act — Article 3(3): Definition of Provider; Article 3(4): Definition of Deployer</t>
  </si>
  <si>
    <t>TESSA explains that a provider is generally the organization developing or placing an AI system on the market, while a deployer is the organization using the AI system in practice. It emphasizes that these roles carry different compliance responsibilities and that organizations may hold multiple roles depending on how the AI system is developed or used.</t>
  </si>
  <si>
    <t>Accurately explains role-based responsibility and the possibility of multiple roles.</t>
  </si>
  <si>
    <t>Start up/Student projects</t>
  </si>
  <si>
    <t>Tests whether TESSA can apply AI Act concepts to realistic educational/student use cases</t>
  </si>
  <si>
    <t>Shows practical applicability in academic environments</t>
  </si>
  <si>
    <t>S1</t>
  </si>
  <si>
    <t>Start up/Student develop an AI chatbot for answering university FAQs. Does this raise compliance concerns?</t>
  </si>
  <si>
    <t>Chapter 2.3 — AI Compliance Tools and Responsible Development</t>
  </si>
  <si>
    <t>EU AI Act — Article 50: Transparency Obligations for AI Systems Interacting with Natural Persons</t>
  </si>
  <si>
    <t>TESSA explains that a university FAQ chatbot would most likely be classified as limited-risk or minimal-risk AI. The main concerns involve transparency, accuracy, privacy, and preventing misleading outputs. It recommends clearly disclosing that users are interacting with AI, limiting responses to verified university information, and maintaining human support and monitoring mechanisms.</t>
  </si>
  <si>
    <t>Good classification and safeguards; the response properly emphasizes AI disclosure and human support.</t>
  </si>
  <si>
    <t>The response is legally consistent with the expected EU AI Act interpretation for this student/start-up project scenario. It does not show major contradiction with the official source.</t>
  </si>
  <si>
    <t>S2</t>
  </si>
  <si>
    <t>Start up/Student project uses facial recognition for classroom attendance. What EU AI Act issues may apply?</t>
  </si>
  <si>
    <t>Chapter 1 — Biometric Identification Risks</t>
  </si>
  <si>
    <t>EU AI Act — Annex III, Point 1: Biometric Identification Systems; Article 5: Prohibited AI Practices</t>
  </si>
  <si>
    <t>TESSA explains that facial recognition for classroom attendance raises significant concerns related to biometric data processing, privacy, bias, transparency, and human rights. It notes that such systems could potentially fall into the high-risk category because they involve biometric identification in an educational setting.</t>
  </si>
  <si>
    <t>Identifies the key concerns but should distinguish biometric identification from verification and avoid implying all facial-recognition attendance systems are automatically high-risk.</t>
  </si>
  <si>
    <t>The response is mostly aligned with the official source, but it is incomplete or ambiguous. Identifies the key concerns but should distinguish biometric identification from verification and avoid implying all facial-recognition attendance systems are automatically high-risk.</t>
  </si>
  <si>
    <t>Some overgeneralisation, ambiguity, or unsupported assumption is present. Identifies the key concerns but should distinguish biometric identification from verification and avoid implying all facial-recognition attendance systems are automatically high-risk.</t>
  </si>
  <si>
    <t>Overall, the response is usable for educational guidance, but it needs refinement to improve legal precision or governance specificity. Identifies the key concerns but should distinguish biometric identification from verification and avoid implying all facial-recognition attendance systems are automatically high-risk.</t>
  </si>
  <si>
    <t>S3</t>
  </si>
  <si>
    <t>Start up/Student create an AI tool to predict student grades. Could this be considered high-risk AI?</t>
  </si>
  <si>
    <t>Chapter 3.1 — High-Risk AI Classification and Educational Contexts</t>
  </si>
  <si>
    <t>EU AI Act — Annex III, Point 3: Education and Vocational Training</t>
  </si>
  <si>
    <t>TESSA explains that an AI tool predicting student grades could potentially be considered high-risk AI because it may influence educational outcomes and opportunities. It highlights concerns related to fairness, transparency, profiling, bias, and overreliance on automated predictions, emphasizing the importance of human oversight and explainable AI practices.</t>
  </si>
  <si>
    <t>Correctly treats grade prediction as potentially high-risk and identifies the main safeguards.</t>
  </si>
  <si>
    <t>S4</t>
  </si>
  <si>
    <t>A university uses AI to recommend courses to students. What obligations may apply?</t>
  </si>
  <si>
    <t>Chapter 3.1 — Risk-Based Compliance and Human Oversight</t>
  </si>
  <si>
    <t>EU AI Act — Article 13: Transparency and Information Requirements; Article 14: Human Oversight</t>
  </si>
  <si>
    <t>TESSA explains that AI-based course recommendation systems would most likely fall into the limited-risk category, but they still require transparency, fairness monitoring, accountability, and human oversight. The risks increase if recommendations significantly influence educational progression or opportunities.</t>
  </si>
  <si>
    <t>Useful risk-based answer, but it states limited-risk too strongly and should connect more explicitly to Annex III education uses when recommendations materially affect outcomes.</t>
  </si>
  <si>
    <t>The response is mostly aligned with the official source, but it is incomplete or ambiguous. Useful risk-based answer, but it states limited-risk too strongly and should connect more explicitly to Annex III education uses when recommendations materially affect outcomes.</t>
  </si>
  <si>
    <t>Some overgeneralisation, ambiguity, or unsupported assumption is present. Useful risk-based answer, but it states limited-risk too strongly and should connect more explicitly to Annex III education uses when recommendations materially affect outcomes.</t>
  </si>
  <si>
    <t>Overall, the response is usable for educational guidance, but it needs refinement to improve legal precision or governance specificity. Useful risk-based answer, but it states limited-risk too strongly and should connect more explicitly to Annex III education uses when recommendations materially affect outcomes.</t>
  </si>
  <si>
    <t>S5</t>
  </si>
  <si>
    <t>Start up/Student build an AI plagiarism detection system. What ethical and compliance considerations exist?</t>
  </si>
  <si>
    <t>Chapter 3.2 — Ethical AI Principles and Fairness</t>
  </si>
  <si>
    <t>EU AI Act — Article 10: Data and Data Governance Requirements; Article 13: Transparency Obligations</t>
  </si>
  <si>
    <t>TESSA explains that AI plagiarism detection systems raise concerns related to false accusations, fairness, transparency, privacy, and overreliance on automation. It emphasizes that such systems should support human academic judgment rather than replace it and recommends fairness audits, explainable outputs, and appeals mechanisms.</t>
  </si>
  <si>
    <t>Good ethical guidance, but the cited legal hooks are incomplete and the possible Annex III education/proctoring classification should be clearer.</t>
  </si>
  <si>
    <t>The response is mostly aligned with the official source, but it is incomplete or ambiguous. Good ethical guidance, but the cited legal hooks are incomplete and the possible Annex III education/proctoring classification should be clearer.</t>
  </si>
  <si>
    <t>Some overgeneralisation, ambiguity, or unsupported assumption is present. Good ethical guidance, but the cited legal hooks are incomplete and the possible Annex III education/proctoring classification should be clearer.</t>
  </si>
  <si>
    <t>Overall, the response is usable for educational guidance, but it needs refinement to improve legal precision or governance specificity. Good ethical guidance, but the cited legal hooks are incomplete and the possible Annex III education/proctoring classification should be clearer.</t>
  </si>
  <si>
    <t>S6</t>
  </si>
  <si>
    <t>Start up/Student team fine-tunes ChatGPT for mental health support. What risks should be considered?</t>
  </si>
  <si>
    <t>Chapter 3.1 — Governance of Advanced AI Models</t>
  </si>
  <si>
    <t>EU AI Act — Article 3(63): GPAI Model Definition; Article 14: Human Oversight; Article 50: Transparency Obligations</t>
  </si>
  <si>
    <t>TESSA explains that AI systems providing mental health support are highly sensitive because they may affect vulnerable individuals and wellbeing outcomes. Key concerns include harmful advice, emotional dependency, privacy of sensitive data, bias, lack of transparency, and insufficient human oversight.</t>
  </si>
  <si>
    <t>Correctly identifies sensitive risks, but does not clearly address possible medical or high-risk classification and relevant provider/deployer responsibilities.</t>
  </si>
  <si>
    <t>The response is mostly aligned with the official source, but it is incomplete or ambiguous. Correctly identifies sensitive risks, but does not clearly address possible medical or high-risk classification and relevant provider/deployer responsibilities.</t>
  </si>
  <si>
    <t>Some overgeneralisation, ambiguity, or unsupported assumption is present. Correctly identifies sensitive risks, but does not clearly address possible medical or high-risk classification and relevant provider/deployer responsibilities.</t>
  </si>
  <si>
    <t>Overall, the response is usable for educational guidance, but it needs refinement to improve legal precision or governance specificity. Correctly identifies sensitive risks, but does not clearly address possible medical or high-risk classification and relevant provider/deployer responsibilities.</t>
  </si>
  <si>
    <t>S7</t>
  </si>
  <si>
    <t>Start up/Student create AI-generated avatars for educational videos. Are transparency disclosures needed?</t>
  </si>
  <si>
    <t>Chapter 2.3 — Transparency and Disclosure Practices</t>
  </si>
  <si>
    <t>EU AI Act — Article 50(2): Disclosure Obligations for AI-Generated or Manipulated Content</t>
  </si>
  <si>
    <t>TESSA explains that AI-generated avatars for educational videos would likely require transparency disclosures because they involve synthetic or AI-generated media. It recommends clearly informing viewers that avatars or voices are AI-generated in order to avoid deception and maintain trust.</t>
  </si>
  <si>
    <t>Accurately reflects Article 50 synthetic-content transparency expectations.</t>
  </si>
  <si>
    <t>S8</t>
  </si>
  <si>
    <t>A university deploys AI for automated scholarship ranking. What compliance risks exist?</t>
  </si>
  <si>
    <t>Chapter 3.1 — High-Risk Decision-Making Systems</t>
  </si>
  <si>
    <t>EU AI Act — Annex III, Point 3: Educational and Student Evaluation Systems</t>
  </si>
  <si>
    <t>TESSA explains that automated scholarship ranking systems could likely be classified as high-risk AI because they affect educational and financial opportunities. Major concerns include discrimination, lack of transparency, overreliance on automation, privacy risks, and the need for fairness testing and human review processes.</t>
  </si>
  <si>
    <t>Correctly identifies high-risk implications and appropriate safeguards.</t>
  </si>
  <si>
    <t>S9</t>
  </si>
  <si>
    <t>Start up/Student use generative AI to create synthetic voices for a project presentation. Are there legal concerns?</t>
  </si>
  <si>
    <t>Chapter 2.3 — Generative AI Transparency Obligations</t>
  </si>
  <si>
    <t>EU AI Act — Article 50(4): Disclosure of Artificially Generated or Manipulated Audio Content</t>
  </si>
  <si>
    <t>TESSA explains that synthetic voice generation raises concerns related to transparency, impersonation, consent, intellectual property, and misleading content. It recommends disclosing that AI-generated speech is used and avoiding unauthorized imitation of real individuals.</t>
  </si>
  <si>
    <t>Aligned with Article 50 and practical transparency safeguards.</t>
  </si>
  <si>
    <t>S10</t>
  </si>
  <si>
    <t>Start up/Student develops an AI system to monitor online exams through webcam analysis. What AI Act concerns may arise?</t>
  </si>
  <si>
    <t>Chapter 1 — Biometric and Monitoring Risks; Chapter 3.1 — High-Risk Educational AI</t>
  </si>
  <si>
    <t>EU AI Act — Annex III, Point 1 and Point 3; Article 5: Restrictions on Emotion Recognition in Educational Contexts</t>
  </si>
  <si>
    <t>TESSA explains that AI exam-monitoring systems using webcam analysis are highly sensitive because they may involve biometric analysis, behavioral monitoring, and surveillance-like functions. Key concerns include privacy intrusion, false accusations, bias, emotional inference, transparency, and the need for strong human oversight and appeals processes.</t>
  </si>
  <si>
    <t>Captures the main high-risk and prohibited-use concerns, though direct emotion-recognition prohibition could be stated more firmly.</t>
  </si>
  <si>
    <t>Risk classification</t>
  </si>
  <si>
    <t>Tests whether TESSA can correctly distinguish between minimal, limited, high-risk, and prohibited AI systems</t>
  </si>
  <si>
    <t>Validates legal reasoning and proportional classification</t>
  </si>
  <si>
    <t>R1</t>
  </si>
  <si>
    <t>Is an AI grammar-checking tool considered minimal-risk AI?</t>
  </si>
  <si>
    <t>Chapter 1 — Minimal-Risk AI Examples</t>
  </si>
  <si>
    <t>EU AI Act — Risk-Based Framework Overview (Minimal-Risk AI Systems)</t>
  </si>
  <si>
    <t>TESSA explains that AI grammar-checking tools are generally considered minimal-risk AI because they mainly assist users with writing improvements and do not make high-stakes decisions. It emphasizes that users remain in control and that such systems typically have limited compliance obligations.</t>
  </si>
  <si>
    <t>Correct classification and proportionate compliance framing.</t>
  </si>
  <si>
    <t>The response is legally consistent with the expected EU AI Act interpretation for this risk classification scenario. It does not show major contradiction with the official source.</t>
  </si>
  <si>
    <t>R2</t>
  </si>
  <si>
    <t>How would an AI-powered student recommendation system likely be classified under the EU AI Act?</t>
  </si>
  <si>
    <t>Chapter 3.1 — Educational Recommendation and Decision Systems</t>
  </si>
  <si>
    <t>EU AI Act — Annex III, Point 3: AI Systems Used in Education and Vocational Training</t>
  </si>
  <si>
    <t>TESSA explains that student recommendation systems would most likely be classified as limited-risk AI because they provide guidance rather than binding decisions. However, the risk level could increase if the system significantly affects educational opportunities, admissions, or scholarships.</t>
  </si>
  <si>
    <t>The response includes a caveat but overstates limited-risk as the most likely classification without enough context.</t>
  </si>
  <si>
    <t>The response is mostly aligned with the official source, but it is incomplete or ambiguous. The response includes a caveat but overstates limited-risk as the most likely classification without enough context.</t>
  </si>
  <si>
    <t>Some overgeneralisation, ambiguity, or unsupported assumption is present. The response includes a caveat but overstates limited-risk as the most likely classification without enough context.</t>
  </si>
  <si>
    <t>Overall, the response is usable for educational guidance, but it needs refinement to improve legal precision or governance specificity. The response includes a caveat but overstates limited-risk as the most likely classification without enough context.</t>
  </si>
  <si>
    <t>R3</t>
  </si>
  <si>
    <t>Would facial recognition for campus access raise high-risk concerns?</t>
  </si>
  <si>
    <t>Chapter 1 — Biometric Identification Systems</t>
  </si>
  <si>
    <t>EU AI Act — Annex III, Point 1: Biometric Identification Systems</t>
  </si>
  <si>
    <t>TESSA explains that facial recognition for campus access raises high-risk concerns because it involves biometric identification, privacy risks, surveillance concerns, and possible discrimination. It highlights the need for strong governance, transparency, fairness testing, and human oversight.</t>
  </si>
  <si>
    <t>Recognizes serious concerns but should include the verification/authentication distinction and avoid automatic high-risk framing.</t>
  </si>
  <si>
    <t>The response is mostly aligned with the official source, but it is incomplete or ambiguous. Recognizes serious concerns but should include the verification/authentication distinction and avoid automatic high-risk framing.</t>
  </si>
  <si>
    <t>Some overgeneralisation, ambiguity, or unsupported assumption is present. Recognizes serious concerns but should include the verification/authentication distinction and avoid automatic high-risk framing.</t>
  </si>
  <si>
    <t>Overall, the response is usable for educational guidance, but it needs refinement to improve legal precision or governance specificity. Recognizes serious concerns but should include the verification/authentication distinction and avoid automatic high-risk framing.</t>
  </si>
  <si>
    <t>R4</t>
  </si>
  <si>
    <t>Is emotion recognition during online examinations prohibited or high-risk?</t>
  </si>
  <si>
    <t>Chapter 1 — Emotion Recognition and Educational Restrictions</t>
  </si>
  <si>
    <t>EU AI Act — Article 5(1): Prohibited AI Practices Related to Emotion Recognition in Education</t>
  </si>
  <si>
    <t>TESSA explains that emotion recognition during online examinations is considered highly sensitive and potentially high-risk because it combines biometric analysis, educational monitoring, and behavioral assessment. It raises concerns about privacy, fairness, scientific reliability, psychological impact, and possible prohibited-use implications.</t>
  </si>
  <si>
    <t>Mentions prohibited-use implications but does not clearly answer that education emotion recognition is prohibited.</t>
  </si>
  <si>
    <t>The response is mostly aligned with the official source, but it is incomplete or ambiguous. Mentions prohibited-use implications but does not clearly answer that education emotion recognition is prohibited.</t>
  </si>
  <si>
    <t>Some overgeneralisation, ambiguity, or unsupported assumption is present. Mentions prohibited-use implications but does not clearly answer that education emotion recognition is prohibited.</t>
  </si>
  <si>
    <t>Overall, the response is usable for educational guidance, but it needs refinement to improve legal precision or governance specificity. Mentions prohibited-use implications but does not clearly answer that education emotion recognition is prohibited.</t>
  </si>
  <si>
    <t>R5</t>
  </si>
  <si>
    <t>How should an AI chatbot that clearly identifies itself as AI be classified?</t>
  </si>
  <si>
    <t>Chapter 2.3 — Transparency and Disclosure Requirements</t>
  </si>
  <si>
    <t>EU AI Act — Article 50(1): AI Systems Interacting with Natural Persons</t>
  </si>
  <si>
    <t>TESSA explains that a chatbot clearly identifying itself as AI would generally be classified as limited-risk AI. Transparency is considered the key obligation, ensuring users understand they are interacting with AI rather than a human.</t>
  </si>
  <si>
    <t>Correctly identifies limited-risk transparency classification.</t>
  </si>
  <si>
    <t>R6</t>
  </si>
  <si>
    <t>Would AI used for student admission decisions fall under high-risk AI?</t>
  </si>
  <si>
    <t>Chapter 3.1 — High-Risk Educational Decision Systems</t>
  </si>
  <si>
    <t>EU AI Act — Annex III, Point 3: AI Systems Used for Admission and Evaluation in Education</t>
  </si>
  <si>
    <t>TESSA explains that AI systems used in student admissions are likely to raise high-risk concerns because they affect educational access and future opportunities. Key concerns include bias, transparency, profiling, overreliance on automation, and fairness in decision-making.</t>
  </si>
  <si>
    <t>Accurately identifies high-risk concerns and core safeguards.</t>
  </si>
  <si>
    <t>R7</t>
  </si>
  <si>
    <t>Is an AI system that summarizes lecture notes considered limited-risk or minimal-risk?</t>
  </si>
  <si>
    <t>Chapter 1 — Minimal and Limited-Risk AI Uses</t>
  </si>
  <si>
    <t>EU AI Act — Article 50: Transparency Obligations for Certain AI Systems</t>
  </si>
  <si>
    <t>TESSA explains that lecture summarization systems would most likely be considered minimal-risk AI because they support productivity and learning rather than making important educational decisions. However, conversational or highly personalized features could increase the risk level toward limited-risk AI.</t>
  </si>
  <si>
    <t>Good contextual classification with appropriate caveat.</t>
  </si>
  <si>
    <t>R8</t>
  </si>
  <si>
    <t>Could AI-based student profiling trigger Annex III high-risk classification?</t>
  </si>
  <si>
    <t>Chapter 3.1 — Profiling and Educational Risk Classification</t>
  </si>
  <si>
    <t>EU AI Act — Annex III, Point 3: Educational Profiling and Assessment Systems</t>
  </si>
  <si>
    <t>TESSA explains that AI-based student profiling could potentially trigger Annex III high-risk classification because profiling may influence educational opportunities, evaluations, and institutional treatment. The main concerns involve fairness, discrimination, transparency, profiling impacts, and data governance.</t>
  </si>
  <si>
    <t>Correctly links profiling impacts to Annex III high-risk concerns.</t>
  </si>
  <si>
    <t>R9</t>
  </si>
  <si>
    <t>Would social scoring of students be considered prohibited under the EU AI Act?</t>
  </si>
  <si>
    <t>Chapter 1 — Prohibited AI Practices</t>
  </si>
  <si>
    <t>EU AI Act — Article 5(1)(c): Prohibition of Social Scoring</t>
  </si>
  <si>
    <t>TESSA explains that student social scoring systems could raise prohibited-AI concerns because they may unfairly categorize students, influence opportunities, and create excessive surveillance or discriminatory treatment. It strongly recommends avoiding broad social-scoring approaches in educational contexts.</t>
  </si>
  <si>
    <t>Correctly warns against social scoring but should state the Article 5 conditions more precisely.</t>
  </si>
  <si>
    <t>The response is mostly aligned with the official source, but it is incomplete or ambiguous. Correctly warns against social scoring but should state the Article 5 conditions more precisely.</t>
  </si>
  <si>
    <t>Some overgeneralisation, ambiguity, or unsupported assumption is present. Correctly warns against social scoring but should state the Article 5 conditions more precisely.</t>
  </si>
  <si>
    <t>Overall, the response is usable for educational guidance, but it needs refinement to improve legal precision or governance specificity. Correctly warns against social scoring but should state the Article 5 conditions more precisely.</t>
  </si>
  <si>
    <t>R10</t>
  </si>
  <si>
    <t>How should generative AI systems used in education be evaluated from a risk perspective?</t>
  </si>
  <si>
    <t>Chapter 3.1 — Risk Governance for Advanced AI Systems</t>
  </si>
  <si>
    <t>EU AI Act — Article 3(63): GPAI Models; Article 50: Transparency Obligations for Generative AI Systems</t>
  </si>
  <si>
    <t>TESSA explains that generative AI in education should be evaluated using a risk-based approach that considers the system’s purpose, impact, autonomy, transparency, data use, and potential harm. It notes that generative AI is not automatically high-risk, but the risk depends heavily on how the system affects students, decisions, and educational opportunities.</t>
  </si>
  <si>
    <t>Aligned with the risk-based approach and deployment-specific assessment.</t>
  </si>
  <si>
    <t>Compliance duties</t>
  </si>
  <si>
    <t>Tests practical compliance guidance such as documentation, transparency, and oversight</t>
  </si>
  <si>
    <t>Shows TESSA can support responsible AI practices in education</t>
  </si>
  <si>
    <t>G1</t>
  </si>
  <si>
    <t>What documentation should students maintain when developing AI systems?</t>
  </si>
  <si>
    <t>Chapter 2.3 — Documentation and Compliance Practices</t>
  </si>
  <si>
    <t>EU AI Act — Article 11: Technical Documentation; Article 12: Record-Keeping and Logging Obligations</t>
  </si>
  <si>
    <t>TESSA explains that students should maintain proportionate documentation covering system purpose, risk assessments, data sources, transparency notices, human oversight procedures, fairness testing, monitoring logs, and privacy measures. Documentation is presented as an important part of accountability, governance, and responsible AI development.</t>
  </si>
  <si>
    <t>Practical guidance is sound, but it should clarify that Article 11/12 are mandatory mainly for high-risk AI providers, not every student project.</t>
  </si>
  <si>
    <t>The response is mostly aligned with the official source, but it is incomplete or ambiguous. Practical guidance is sound, but it should clarify that Article 11/12 are mandatory mainly for high-risk AI providers, not every student project.</t>
  </si>
  <si>
    <t>Some overgeneralisation, ambiguity, or unsupported assumption is present. Practical guidance is sound, but it should clarify that Article 11/12 are mandatory mainly for high-risk AI providers, not every student project.</t>
  </si>
  <si>
    <t>Overall, the response is usable for educational guidance, but it needs refinement to improve legal precision or governance specificity. Practical guidance is sound, but it should clarify that Article 11/12 are mandatory mainly for high-risk AI providers, not every student project.</t>
  </si>
  <si>
    <t>G2</t>
  </si>
  <si>
    <t>Who is responsible for compliance in a university AI project?</t>
  </si>
  <si>
    <t>Chapter 2.1.1 — Responsibilities of Providers and Deployers</t>
  </si>
  <si>
    <t>EU AI Act — Article 3(3): Definition of Provider; Article 3(4): Definition of Deployer; Chapter III Obligations for High-Risk AI Systems</t>
  </si>
  <si>
    <t>TESSA explains that compliance responsibility depends on the role each party plays, such as provider or deployer. Student developers may act as providers, while universities using the AI operationally may act as deployers, meaning responsibility can be shared across multiple stakeholders.</t>
  </si>
  <si>
    <t>Accurately describes role-based responsibility.</t>
  </si>
  <si>
    <t>The response is legally consistent with the expected EU AI Act interpretation for this compliance governance scenario. It does not show major contradiction with the official source.</t>
  </si>
  <si>
    <t>G3</t>
  </si>
  <si>
    <t>What human oversight measures should educational AI systems include?</t>
  </si>
  <si>
    <t>Chapter 2.1.2 — Human Oversight and Risk Mitigation</t>
  </si>
  <si>
    <t>EU AI Act — Article 14: Human Oversight Requirements</t>
  </si>
  <si>
    <t>TESSA explains that educational AI systems should include meaningful human oversight through human review, override capabilities, appeals procedures, transparency for reviewers, and continuous monitoring. Oversight expectations increase when AI affects admissions, grading, scholarships, or disciplinary decisions.</t>
  </si>
  <si>
    <t>Aligned with human oversight expectations and the guidance’s risk-mitigation approach.</t>
  </si>
  <si>
    <t>G4</t>
  </si>
  <si>
    <t>What transparency disclosures should students provide when using generative AI?</t>
  </si>
  <si>
    <t>Chapter 2.3 — Transparency Obligations for Generative AI</t>
  </si>
  <si>
    <t>EU AI Act — Article 50(1)–(4): Transparency Obligations for AI Interaction and AI-Generated Content</t>
  </si>
  <si>
    <t>TESSA explains that students should clearly disclose when AI-generated content, synthetic media, chatbots, or AI-assisted outputs are used. It emphasizes transparency notices, disclosure of limitations, and avoiding deceptive presentation of AI-generated materials.</t>
  </si>
  <si>
    <t>Good responsible-use advice, but it treats student disclosure too broadly as an AI Act obligation.</t>
  </si>
  <si>
    <t>The response is mostly aligned with the official source, but it is incomplete or ambiguous. Good responsible-use advice, but it treats student disclosure too broadly as an AI Act obligation.</t>
  </si>
  <si>
    <t>Some overgeneralisation, ambiguity, or unsupported assumption is present. Good responsible-use advice, but it treats student disclosure too broadly as an AI Act obligation.</t>
  </si>
  <si>
    <t>Overall, the response is usable for educational guidance, but it needs refinement to improve legal precision or governance specificity. Good responsible-use advice, but it treats student disclosure too broadly as an AI Act obligation.</t>
  </si>
  <si>
    <t>G5</t>
  </si>
  <si>
    <t>How can students demonstrate responsible AI development practices?</t>
  </si>
  <si>
    <t>Chapter 3.2 — Responsible AI and Ethical Governance</t>
  </si>
  <si>
    <t>EU AI Act — Article 4: AI Literacy; Article 9: Risk Management System</t>
  </si>
  <si>
    <t>TESSA explains that responsible AI development involves conducting risk assessments, maintaining transparency, including human oversight, monitoring fairness and bias, protecting privacy, documenting governance measures, and continuously monitoring system performance.</t>
  </si>
  <si>
    <t>Matches the book’s practical governance approach and AI Act risk-based logic.</t>
  </si>
  <si>
    <t>G6</t>
  </si>
  <si>
    <t>What ethical considerations should be evaluated before deploying educational AI systems?</t>
  </si>
  <si>
    <t>Chapter 3.2 — Ethical Frameworks and Bias Mitigation</t>
  </si>
  <si>
    <t>EU AI Act — Article 10: Data Governance and Bias Mitigation; Article 14: Human Oversight</t>
  </si>
  <si>
    <t>TESSA explains that educational AI systems should be evaluated for fairness, transparency, human oversight, privacy protection, psychological impact, reliability, proportionality, and accountability before deployment. It highlights the importance of protecting students’ rights and minimizing harmful or discriminatory outcomes.</t>
  </si>
  <si>
    <t>Fully aligned with the ethical governance and high-risk safeguard framework.</t>
  </si>
  <si>
    <t>G7</t>
  </si>
  <si>
    <t>How should universities manage risks related to student AI projects?</t>
  </si>
  <si>
    <t>Chapter 3.1 — Risk-Based Compliance Systems</t>
  </si>
  <si>
    <t>EU AI Act — Articles 9–15: Requirements for High-Risk AI Systems</t>
  </si>
  <si>
    <t>TESSA explains that universities should manage student AI risks through risk-based governance, ethical review, documentation requirements, human oversight, transparency measures, privacy safeguards, and ongoing monitoring. Higher-risk systems involving profiling, biometrics, or surveillance require stronger oversight.</t>
  </si>
  <si>
    <t>Accurately reflects risk-based governance for educational settings.</t>
  </si>
  <si>
    <t>G8</t>
  </si>
  <si>
    <t>What steps help reduce bias in educational AI systems?</t>
  </si>
  <si>
    <t>Chapter 2.2 — AI Bias and Discrimination</t>
  </si>
  <si>
    <t>EU AI Act — Article 10(2)–(5): Data Governance, Data Quality, and Bias Reduction Measures</t>
  </si>
  <si>
    <t>TESSA explains that reducing bias requires diverse datasets, fairness testing, human oversight, explainable AI approaches, continuous monitoring, minimized profiling, responsible data governance, and appeals mechanisms. It emphasizes fairness and non-discrimination as core principles of trustworthy educational AI.</t>
  </si>
  <si>
    <t>Aligned with Chapter 2.2 and Article 10 data governance concerns.</t>
  </si>
  <si>
    <t>G9</t>
  </si>
  <si>
    <t>Why is audit logging important for AI governance and accountability?</t>
  </si>
  <si>
    <t>Chapter 2.3 — Accountability and Monitoring Mechanisms</t>
  </si>
  <si>
    <t>EU AI Act — Article 12: Record-Keeping and Automatic Logging Requirements</t>
  </si>
  <si>
    <t>TESSA explains that audit logging supports accountability, incident investigation, fairness monitoring, transparency, human oversight, and governance documentation. Logs help organizations understand AI behavior, detect harmful outcomes, and demonstrate responsible AI management practices.</t>
  </si>
  <si>
    <t>Correctly explains why logs matter for governance and compliance.</t>
  </si>
  <si>
    <t>G10</t>
  </si>
  <si>
    <t>How can AI literacy help students comply with the EU AI Act?</t>
  </si>
  <si>
    <t>Chapter 3.2 — AI Literacy and Responsible Use</t>
  </si>
  <si>
    <t>TESSA explains that AI literacy helps students understand AI risk categories, transparency obligations, fairness concerns, privacy risks, governance responsibilities, and prohibited practices. It supports responsible AI development and reduces the likelihood of harmful or non-compliant AI use.</t>
  </si>
  <si>
    <t>Accurately reflects Article 4 and the guidance’s educational framing.</t>
  </si>
  <si>
    <t>Prohibited AI</t>
  </si>
  <si>
    <t>Tests identification of prohibited or unacceptable AI practices</t>
  </si>
  <si>
    <t>Demonstrates understanding of strict legal boundaries</t>
  </si>
  <si>
    <t>P1</t>
  </si>
  <si>
    <t>Would an AI system that manipulates vulnerable students emotionally be prohibited under the EU AI Act?</t>
  </si>
  <si>
    <t>Chapter 1 — Manipulative and Harmful AI Practices</t>
  </si>
  <si>
    <t>EU AI Act — Article 5(1)(a) and 5(1)(b): Harmful Manipulation and Exploitation of Vulnerabilities</t>
  </si>
  <si>
    <t>TESSA explains that emotionally manipulative AI targeting vulnerable students could potentially fall into the prohibited or unacceptable-risk category because it may exploit vulnerabilities, undermine autonomy, and cause psychological or educational harm. It strongly recommends avoiding manipulative educational AI practices.</t>
  </si>
  <si>
    <t>Correctly identifies prohibited/unacceptable-risk concerns and recommends avoidance.</t>
  </si>
  <si>
    <t>The response is legally consistent with the expected EU AI Act interpretation for this prohibited AI practices scenario. It does not show major contradiction with the official source.</t>
  </si>
  <si>
    <t>P2</t>
  </si>
  <si>
    <t>Is emotion recognition during school examinations allowed under the EU AI Act?</t>
  </si>
  <si>
    <t>Chapter 1 — Emotion Recognition Restrictions</t>
  </si>
  <si>
    <t>EU AI Act — Article 5(1)(f): Prohibition of Emotion Recognition in Educational Institutions</t>
  </si>
  <si>
    <t>TESSA explains that emotion recognition during examinations is a highly sensitive and potentially high-risk AI use case because it involves biometric and behavioral analysis in an educational setting. Concerns include privacy intrusion, unreliable emotional inference, discrimination, surveillance, and psychological pressure on students.</t>
  </si>
  <si>
    <t>No</t>
  </si>
  <si>
    <t>The response is misleading because it frames the practice as sensitive or potentially high-risk rather than clearly prohibited.</t>
  </si>
  <si>
    <t>Weak</t>
  </si>
  <si>
    <t>The response is not suitable as governance guidance because it misses or misstates the appropriate compliance approach for the scenario.</t>
  </si>
  <si>
    <t>High Risk</t>
  </si>
  <si>
    <t>P3</t>
  </si>
  <si>
    <t>Would social scoring of students by a university be considered prohibited AI?</t>
  </si>
  <si>
    <t>Chapter 1 — Prohibited AI Systems</t>
  </si>
  <si>
    <t>TESSA explains that student social-scoring systems would likely raise prohibited-AI concerns because they may unfairly profile students, influence opportunities, create surveillance effects, and undermine fairness, autonomy, and fundamental rights.</t>
  </si>
  <si>
    <t>Correct direction, but it should state the prohibition conditions more clearly rather than only saying it raises concerns.</t>
  </si>
  <si>
    <t>The response is mostly aligned with the official source, but it is incomplete or ambiguous. Correct direction, but it should state the prohibition conditions more clearly rather than only saying it raises concerns.</t>
  </si>
  <si>
    <t>Some overgeneralisation, ambiguity, or unsupported assumption is present. Correct direction, but it should state the prohibition conditions more clearly rather than only saying it raises concerns.</t>
  </si>
  <si>
    <t>Overall, the response is usable for educational guidance, but it needs refinement to improve legal precision or governance specificity. Correct direction, but it should state the prohibition conditions more clearly rather than only saying it raises concerns.</t>
  </si>
  <si>
    <t>P4</t>
  </si>
  <si>
    <t>Can AI systems use subliminal techniques to influence student behavior?</t>
  </si>
  <si>
    <t>Chapter 1 — Manipulative AI Practices</t>
  </si>
  <si>
    <t>EU AI Act — Article 5(1)(a): Subliminal and Deceptive Manipulation</t>
  </si>
  <si>
    <t>TESSA explains that AI systems using subliminal or covert influence techniques in education may fall into prohibited or unacceptable-risk categories because they can manipulate behavior without awareness, exploit vulnerabilities, and undermine informed decision-making and autonomy.</t>
  </si>
  <si>
    <t>Accurately captures Article 5 manipulation concerns.</t>
  </si>
  <si>
    <t>P5</t>
  </si>
  <si>
    <t>Would AI that exploits students’ age or vulnerabilities raise prohibited AI concerns?</t>
  </si>
  <si>
    <t>Chapter 1 — Protection of Vulnerable Individuals</t>
  </si>
  <si>
    <t>EU AI Act — Article 5(1)(b): Exploitation of Vulnerabilities Due to Age or Situation</t>
  </si>
  <si>
    <t>TESSA explains that AI exploiting students’ age, emotional state, dependency, or vulnerabilities could trigger prohibited-AI concerns because it may manipulate behavior unfairly, exploit emotional weakness, and negatively affect wellbeing, autonomy, and educational outcomes.</t>
  </si>
  <si>
    <t>Correctly identifies the vulnerability-exploitation prohibition.</t>
  </si>
  <si>
    <t>P6</t>
  </si>
  <si>
    <t>Is biometric categorization based on sensitive characteristics permitted in educational settings?</t>
  </si>
  <si>
    <t>Chapter 1 — Biometric Categorization Risks</t>
  </si>
  <si>
    <t>EU AI Act — Article 5(1)(g): Prohibited Biometric Categorisation Based on Sensitive Characteristics</t>
  </si>
  <si>
    <t>TESSA explains that biometric categorization using sensitive characteristics in education raises extremely serious concerns and may approach prohibited or highly restricted AI practices. Risks include discrimination, privacy intrusion, surveillance, misclassification, and harm to dignity and autonomy.</t>
  </si>
  <si>
    <t>Recognizes serious concern but should state the prohibition more directly when sensitive biometric categorisation is involved.</t>
  </si>
  <si>
    <t>The response is mostly aligned with the official source, but it is incomplete or ambiguous. Recognizes serious concern but should state the prohibition more directly when sensitive biometric categorisation is involved.</t>
  </si>
  <si>
    <t>Some overgeneralisation, ambiguity, or unsupported assumption is present. Recognizes serious concern but should state the prohibition more directly when sensitive biometric categorisation is involved.</t>
  </si>
  <si>
    <t>Overall, the response is usable for educational guidance, but it needs refinement to improve legal precision or governance specificity. Recognizes serious concern but should state the prohibition more directly when sensitive biometric categorisation is involved.</t>
  </si>
  <si>
    <t>P7</t>
  </si>
  <si>
    <t>Could an AI system that predicts “problematic students” create prohibited practice concerns?</t>
  </si>
  <si>
    <t>Chapter 3.2 — Profiling, Fairness, and Ethics</t>
  </si>
  <si>
    <t>EU AI Act — Article 5(1)(c): Social Scoring and Harmful Profiling Concerns</t>
  </si>
  <si>
    <t>TESSA explains that predictive systems labeling “problematic students” could raise serious high-risk or prohibited-AI concerns because they involve profiling, behavioral prediction, stigmatization, discrimination, surveillance, and possible resemblance to social-scoring practices.</t>
  </si>
  <si>
    <t>Good warning, but the legal boundary between high-risk profiling and prohibited social scoring should be sharper.</t>
  </si>
  <si>
    <t>The response is mostly aligned with the official source, but it is incomplete or ambiguous. Good warning, but the legal boundary between high-risk profiling and prohibited social scoring should be sharper.</t>
  </si>
  <si>
    <t>Some overgeneralisation, ambiguity, or unsupported assumption is present. Good warning, but the legal boundary between high-risk profiling and prohibited social scoring should be sharper.</t>
  </si>
  <si>
    <t>Overall, the response is usable for educational guidance, but it needs refinement to improve legal precision or governance specificity. Good warning, but the legal boundary between high-risk profiling and prohibited social scoring should be sharper.</t>
  </si>
  <si>
    <t>P8</t>
  </si>
  <si>
    <t>Would untargeted scraping of student facial images for recognition systems be prohibited?</t>
  </si>
  <si>
    <t>Chapter 1 — Biometric Data and Facial Recognition Risks</t>
  </si>
  <si>
    <t>EU AI Act — Article 5(1)(e): Untargeted Scraping of Facial Images</t>
  </si>
  <si>
    <t>TESSA explains that untargeted scraping of student facial images for facial-recognition systems raises extremely serious concerns related to biometric privacy, surveillance, consent, discrimination, and fundamental rights, potentially approaching prohibited AI practices.</t>
  </si>
  <si>
    <t>The response is too cautious; this practice is directly prohibited rather than merely approaching prohibition.</t>
  </si>
  <si>
    <t>P9</t>
  </si>
  <si>
    <t>Can universities use AI to infer students’ emotions during classroom activities?</t>
  </si>
  <si>
    <t>Chapter 1 — Emotion Recognition and Educational Contexts</t>
  </si>
  <si>
    <t>EU AI Act — Article 5(1)(f): Emotion Recognition in Educational Institutions</t>
  </si>
  <si>
    <t>TESSA explains that classroom emotion-recognition systems are highly sensitive and potentially high-risk because they involve biometric analysis, emotional profiling, surveillance concerns, and psychological impacts on students. It emphasizes the need for strong safeguards, transparency, and human oversight.</t>
  </si>
  <si>
    <t>The response incorrectly treats the practice as high-risk with safeguards instead of clearly prohibited.</t>
  </si>
  <si>
    <t>P10</t>
  </si>
  <si>
    <t>What legal risks arise if AI systems manipulate students’ decision-making without their awareness?</t>
  </si>
  <si>
    <t>Chapter 2.1.2 — Liability and Risk Mitigation</t>
  </si>
  <si>
    <t>EU AI Act — Article 5(1)(a): Subliminal Manipulation and Deceptive Techniques</t>
  </si>
  <si>
    <t>TESSA explains that covertly manipulative AI systems may raise prohibited-AI concerns because they can undermine autonomy, exploit vulnerabilities, violate transparency principles, and create psychological, profiling, and governance risks within educational settings.</t>
  </si>
  <si>
    <t>Correctly identifies prohibited manipulation and associated compliance risks.</t>
  </si>
  <si>
    <t>Minimal-risk AI</t>
  </si>
  <si>
    <t>Verifies that TESSA does not incorrectly overclassify harmless AI systems</t>
  </si>
  <si>
    <t>Demonstrates balanced and accurate interpretation</t>
  </si>
  <si>
    <t>M1</t>
  </si>
  <si>
    <t>Is an AI grammar checker for student essays considered minimal-risk AI?</t>
  </si>
  <si>
    <t>EU AI Act — Risk-Based Framework Overview for Minimal-Risk AI</t>
  </si>
  <si>
    <t>TESSA explains that AI grammar checkers are generally considered minimal-risk AI because they mainly assist writing quality without making high-impact educational decisions. Students remain responsible for final submissions, while transparency, privacy protection, and bias awareness are still recommended.</t>
  </si>
  <si>
    <t>Correct minimal-risk classification and proportionate safeguards.</t>
  </si>
  <si>
    <t>The response is legally consistent with the expected EU AI Act interpretation for this minimal-risk AI scenario. It does not show major contradiction with the official source.</t>
  </si>
  <si>
    <t>M2</t>
  </si>
  <si>
    <t>Would AI-generated lecture summaries generally fall under minimal-risk AI?</t>
  </si>
  <si>
    <t>Chapter 1 — Minimal-Risk and Limited-Risk AI</t>
  </si>
  <si>
    <t>EU AI Act — Article 50: Transparency Obligations Potentially Applicable to Generative AI Outputs</t>
  </si>
  <si>
    <t>TESSA explains that AI-generated lecture summaries are generally classified as minimal-risk AI because they support learning and productivity rather than automate important educational decisions. Key concerns include hallucinated summaries, overreliance on AI, privacy, and transparency about AI-generated content.</t>
  </si>
  <si>
    <t>Mostly correct, but the response should separate minimal-risk classification from possible Article 50/generative transparency duties.</t>
  </si>
  <si>
    <t>The response is mostly aligned with the official source, but it is incomplete or ambiguous. Mostly correct, but the response should separate minimal-risk classification from possible Article 50/generative transparency duties.</t>
  </si>
  <si>
    <t>Some overgeneralisation, ambiguity, or unsupported assumption is present. Mostly correct, but the response should separate minimal-risk classification from possible Article 50/generative transparency duties.</t>
  </si>
  <si>
    <t>Overall, the response is usable for educational guidance, but it needs refinement to improve legal precision or governance specificity. Mostly correct, but the response should separate minimal-risk classification from possible Article 50/generative transparency duties.</t>
  </si>
  <si>
    <t>M3</t>
  </si>
  <si>
    <t>Is a university chatbot providing campus opening hours considered minimal-risk?</t>
  </si>
  <si>
    <t>Chapter 1 — Minimal-Risk AI Uses</t>
  </si>
  <si>
    <t>TESSA explains that a university chatbot providing basic administrative information, such as campus opening hours, would generally be considered minimal-risk AI because it functions mainly as a low-impact informational assistant without affecting rights or opportunities significantly.</t>
  </si>
  <si>
    <t>Correct low-impact assessment, but it underplays the limited-risk transparency obligation for chatbots.</t>
  </si>
  <si>
    <t>The response is mostly aligned with the official source, but it is incomplete or ambiguous. Correct low-impact assessment, but it underplays the limited-risk transparency obligation for chatbots.</t>
  </si>
  <si>
    <t>Some overgeneralisation, ambiguity, or unsupported assumption is present. Correct low-impact assessment, but it underplays the limited-risk transparency obligation for chatbots.</t>
  </si>
  <si>
    <t>Overall, the response is usable for educational guidance, but it needs refinement to improve legal precision or governance specificity. Correct low-impact assessment, but it underplays the limited-risk transparency obligation for chatbots.</t>
  </si>
  <si>
    <t>M4</t>
  </si>
  <si>
    <t>Would an AI spelling correction tool require major compliance obligations?</t>
  </si>
  <si>
    <t>Chapter 1 — Minimal-Risk AI Systems</t>
  </si>
  <si>
    <t>EU AI Act — Minimal-Risk Classification under the Risk-Based Framework</t>
  </si>
  <si>
    <t>TESSA explains that AI spelling correction tools generally do not require major compliance obligations because they are treated as minimal-risk AI systems. The focus is mainly on transparency, user control, data protection, and monitoring for obvious bias or errors.</t>
  </si>
  <si>
    <t>Aligned with minimal-risk treatment.</t>
  </si>
  <si>
    <t>M5</t>
  </si>
  <si>
    <t>Is AI used only for formatting presentations considered minimal-risk AI?</t>
  </si>
  <si>
    <t>Chapter 1 — Low-Impact AI Uses</t>
  </si>
  <si>
    <t>EU AI Act — Minimal-Risk AI Classification Principles</t>
  </si>
  <si>
    <t>TESSA explains that AI presentation-formatting tools are generally considered minimal-risk AI because they mainly provide cosmetic or organizational assistance rather than making important decisions. Recommended safeguards include transparency, human review, data protection, and avoiding deceptive synthetic content.</t>
  </si>
  <si>
    <t>Correct minimal-risk classification and reasonable voluntary safeguards.</t>
  </si>
  <si>
    <t>M6</t>
  </si>
  <si>
    <t>Can AI-based timetable recommendation tools generally be classified as minimal-risk?</t>
  </si>
  <si>
    <t>Chapter 1 — Recommendation Systems and Risk Levels</t>
  </si>
  <si>
    <t>EU AI Act — Risk-Based Classification Framework</t>
  </si>
  <si>
    <t>TESSA explains that timetable recommendation systems are generally considered minimal-risk AI because they support scheduling decisions while students remain free to accept or reject recommendations. Risks may increase if profiling, hidden prioritization, or automated educational decisions are introduced.</t>
  </si>
  <si>
    <t>Accurate contextual classification.</t>
  </si>
  <si>
    <t>M7</t>
  </si>
  <si>
    <t>Would AI-generated study flashcards typically fall outside high-risk classification?</t>
  </si>
  <si>
    <t>Chapter 1 — Minimal-Risk Educational AI</t>
  </si>
  <si>
    <t>EU AI Act — Article 6 and Annex III High-Risk Classification Thresholds</t>
  </si>
  <si>
    <t>TESSA explains that AI-generated study flashcards would generally fall outside high-risk classification because they mainly function as optional educational support tools. Concerns focus on hallucinated content, bias, transparency, and overreliance on AI-generated study materials.</t>
  </si>
  <si>
    <t>Correctly frames the tool as supportive rather than high-risk.</t>
  </si>
  <si>
    <t>M8</t>
  </si>
  <si>
    <t>Is an AI tool that translates lecture notes usually considered minimal-risk?</t>
  </si>
  <si>
    <t>Chapter 1 — Translation and Supportive AI Systems</t>
  </si>
  <si>
    <t>EU AI Act — Minimal-Risk AI Guidance under the Risk-Based Approach</t>
  </si>
  <si>
    <t>TESSA explains that AI lecture-note translation tools are usually considered minimal-risk AI because they support accessibility and multilingual learning without making significant educational decisions. Main concerns include translation inaccuracies, hallucinations, privacy, fairness, and transparency about AI-generated translations.</t>
  </si>
  <si>
    <t>Aligned with risk-based and practical guidance.</t>
  </si>
  <si>
    <t>M9</t>
  </si>
  <si>
    <t>Would AI used for organizing research references create significant AI Act obligations?</t>
  </si>
  <si>
    <t>Chapter 2.3 — Administrative AI Uses and Governance</t>
  </si>
  <si>
    <t>EU AI Act — Minimal-Risk AI Systems under the General Risk Framework</t>
  </si>
  <si>
    <t>TESSA explains that AI systems organizing research references are generally considered minimal-risk AI because they mainly provide productivity and research-assistance support. Key considerations include hallucinated citations, recommendation bias, privacy protection, transparency, and maintaining human responsibility for academic integrity.</t>
  </si>
  <si>
    <t>Correct classification and risks.</t>
  </si>
  <si>
    <t>M10</t>
  </si>
  <si>
    <t>Can simple AI assistants used for administrative support be considered minimal-risk systems?</t>
  </si>
  <si>
    <t>Chapter 1 — Administrative and Support AI Uses</t>
  </si>
  <si>
    <t>EU AI Act — Risk-Based Framework for Minimal-Risk AI Systems</t>
  </si>
  <si>
    <t>TESSA explains that simple administrative AI assistants are generally considered minimal-risk AI systems because they mainly support routine tasks and information access without making high-impact decisions. Recommended practices include transparency, human escalation options, privacy protection, and monitoring for inaccurate or hallucinated outputs.</t>
  </si>
  <si>
    <t>Generally aligned; the recommended safeguards are appropriate.</t>
  </si>
  <si>
    <t>Limited-risk AI</t>
  </si>
  <si>
    <t>Tests transparency and disclosure reasoning under the EU AI Act</t>
  </si>
  <si>
    <t>Important because many educational AI systems fall into this category</t>
  </si>
  <si>
    <t>L1</t>
  </si>
  <si>
    <t>Does a student-facing AI chatbot need to disclose that users are interacting with AI?</t>
  </si>
  <si>
    <t>EU AI Act — Article 50(1): Disclosure Requirements for AI Systems Interacting with Humans</t>
  </si>
  <si>
    <t>TESSA explains that student-facing AI chatbots should clearly disclose that users are interacting with AI in order to maintain transparency, prevent deception, and support accountability. It also recommends explaining system limitations and maintaining human escalation pathways.</t>
  </si>
  <si>
    <t>Accurately reflects Article 50(1).</t>
  </si>
  <si>
    <t>The response is legally consistent with the expected EU AI Act interpretation for this limited-risk transparency scenario. It does not show major contradiction with the official source.</t>
  </si>
  <si>
    <t>L2</t>
  </si>
  <si>
    <t>Would AI-generated synthetic voices require transparency disclosures?</t>
  </si>
  <si>
    <t>TESSA explains that AI-generated synthetic voices generally require transparency disclosures, especially when users could mistake them for real human voices. Key concerns include deception, impersonation, emotional manipulation, accountability, and maintaining trust in educational environments.</t>
  </si>
  <si>
    <t>Aligned with synthetic audio transparency obligations.</t>
  </si>
  <si>
    <t>L3</t>
  </si>
  <si>
    <t>Should AI-generated educational videos be labeled as AI-generated content?</t>
  </si>
  <si>
    <t>Chapter 2.3 — Transparency and AI-Generated Media</t>
  </si>
  <si>
    <t>EU AI Act — Article 50(2): Disclosure of AI-Generated or Manipulated Content</t>
  </si>
  <si>
    <t>TESSA explains that AI-generated educational videos should generally be labeled as AI-generated content, particularly when they use synthetic media, avatars, or realistic voices. Transparency is important to prevent deception, reduce misinformation risks, and preserve trust in educational materials.</t>
  </si>
  <si>
    <t>Correctly reflects Article 50 synthetic-media concerns.</t>
  </si>
  <si>
    <t>L4</t>
  </si>
  <si>
    <t>Would generative AI used in classroom materials create transparency obligations?</t>
  </si>
  <si>
    <t>TESSA explains that generative AI used in classroom materials creates transparency obligations because students should understand when educational content has been AI-generated. It emphasizes disclosure, human review, and monitoring for inaccuracies or hallucinated content.</t>
  </si>
  <si>
    <t>Good governance advice, but it states transparency obligations too broadly for all classroom materials.</t>
  </si>
  <si>
    <t>The response is mostly aligned with the official source, but it is incomplete or ambiguous. Good governance advice, but it states transparency obligations too broadly for all classroom materials.</t>
  </si>
  <si>
    <t>Some overgeneralisation, ambiguity, or unsupported assumption is present. Good governance advice, but it states transparency obligations too broadly for all classroom materials.</t>
  </si>
  <si>
    <t>Overall, the response is usable for educational guidance, but it needs refinement to improve legal precision or governance specificity. Good governance advice, but it states transparency obligations too broadly for all classroom materials.</t>
  </si>
  <si>
    <t>L5</t>
  </si>
  <si>
    <t>Does an AI tutoring assistant fall under limited-risk transparency requirements?</t>
  </si>
  <si>
    <t>Chapter 2.3 — AI Interaction and User Awareness</t>
  </si>
  <si>
    <t>TESSA explains that AI tutoring assistants often fall under limited-risk transparency expectations because students interact directly with conversational AI and may rely heavily on its educational guidance. Transparency, disclosure of limitations, human oversight, and avoiding deceptive human imitation are emphasized.</t>
  </si>
  <si>
    <t>Correctly identifies Article 50 chatbot/assistant disclosure duties.</t>
  </si>
  <si>
    <t>L6</t>
  </si>
  <si>
    <t>Should students disclose when assignments contain AI-generated text?</t>
  </si>
  <si>
    <t>Chapter 3.2 — Academic Integrity and Responsible AI Use</t>
  </si>
  <si>
    <t>EU AI Act — Article 50(4): Disclosure Obligations for AI-Generated Text Content</t>
  </si>
  <si>
    <t>TESSA explains that students should generally disclose meaningful use of AI-generated text in assignments to support transparency, academic integrity, accountability, and responsible AI use. Students remain responsible for the accuracy, originality, and final quality of submitted work.</t>
  </si>
  <si>
    <t>Responsible advice, but the legal basis is overstated for ordinary student assignments.</t>
  </si>
  <si>
    <t>The response is mostly aligned with the official source, but it is incomplete or ambiguous. Responsible advice, but the legal basis is overstated for ordinary student assignments.</t>
  </si>
  <si>
    <t>Some overgeneralisation, ambiguity, or unsupported assumption is present. Responsible advice, but the legal basis is overstated for ordinary student assignments.</t>
  </si>
  <si>
    <t>Overall, the response is usable for educational guidance, but it needs refinement to improve legal precision or governance specificity. Responsible advice, but the legal basis is overstated for ordinary student assignments.</t>
  </si>
  <si>
    <t>L7</t>
  </si>
  <si>
    <t>Would AI systems generating realistic images for university projects require disclosure?</t>
  </si>
  <si>
    <t>Chapter 2.3 — Synthetic Media and Disclosure Requirements</t>
  </si>
  <si>
    <t>EU AI Act — Article 50(2): Disclosure of Deepfakes and AI-Generated Images</t>
  </si>
  <si>
    <t>TESSA explains that AI-generated realistic images generally require disclosure, especially when viewers could mistake synthetic media for authentic imagery. The guidance highlights transparency, prevention of deception, and avoidance of misleading deepfake-style content.</t>
  </si>
  <si>
    <t>Aligned with Article 50 and synthetic-media transparency.</t>
  </si>
  <si>
    <t>L8</t>
  </si>
  <si>
    <t>Can conversational AI systems in education trigger limited-risk obligations?</t>
  </si>
  <si>
    <t>Chapter 2.3 — Conversational AI and Transparency</t>
  </si>
  <si>
    <t>EU AI Act — Article 50(1): AI Interaction Disclosure Obligations</t>
  </si>
  <si>
    <t>TESSA explains that conversational AI systems in education can trigger limited-risk transparency obligations because students interact directly with AI-generated responses and may mistake the system for a human educator or advisor. Transparency, human oversight, and protection against deceptive interaction are emphasized.</t>
  </si>
  <si>
    <t>Correctly identifies transparency duties for conversational systems.</t>
  </si>
  <si>
    <t>L9</t>
  </si>
  <si>
    <t>Would AI-generated summaries used in academic advising require transparency measures?</t>
  </si>
  <si>
    <t>Chapter 2.3 — Transparency in Advisory AI Systems</t>
  </si>
  <si>
    <t>EU AI Act — Article 13: Transparency and Provision of Information to Users; Article 50</t>
  </si>
  <si>
    <t>TESSA explains that AI-generated summaries used in academic advising generally require transparency measures because they may influence educational decisions and student guidance. Human advisors should remain responsible for reviewing outputs, verifying recommendations, and maintaining accountability.</t>
  </si>
  <si>
    <t>Accurately emphasizes human advisor responsibility and accountability.</t>
  </si>
  <si>
    <t>L10</t>
  </si>
  <si>
    <t>What transparency responsibilities apply when universities deploy generative AI services?</t>
  </si>
  <si>
    <t>Chapter 3.1 — Governance and Transparency of Generative AI</t>
  </si>
  <si>
    <t>EU AI Act — Article 50; GPAI Transparency Provisions</t>
  </si>
  <si>
    <t>TESSA explains that universities deploying generative AI services should clearly disclose AI interaction, label AI-generated content, explain limitations, maintain human oversight, and protect educational data. Transparency is presented as a core principle for trustworthy and responsible educational AI governance.</t>
  </si>
  <si>
    <t>Aligned with transparency and governance expectations.</t>
  </si>
  <si>
    <t>High-risk AI</t>
  </si>
  <si>
    <t>Tests whether TESSA recognizes Annex III and education-related high-risk situations</t>
  </si>
  <si>
    <t>Critical for compliance-oriented evaluation</t>
  </si>
  <si>
    <t>H1</t>
  </si>
  <si>
    <t>Would AI used in student admission decisions be considered high-risk AI?</t>
  </si>
  <si>
    <t>TESSA explains that AI systems used in student admissions would likely be considered high-risk AI because they may significantly affect educational access, opportunities, fairness, and non-discrimination rights. It emphasizes the need for human oversight, transparency, fairness testing, documentation, and continuous monitoring.</t>
  </si>
  <si>
    <t>Accurately classifies admissions AI as high-risk.</t>
  </si>
  <si>
    <t>The response is legally consistent with the expected EU AI Act interpretation for this high-risk AI scenario. It does not show major contradiction with the official source.</t>
  </si>
  <si>
    <t>H2</t>
  </si>
  <si>
    <t>Is AI that predicts student academic success potentially high-risk under Annex III?</t>
  </si>
  <si>
    <t>Chapter 3.1 — Educational Profiling and Predictive Systems</t>
  </si>
  <si>
    <t>EU AI Act — Annex III, Point 3: Educational Assessment and Profiling Systems</t>
  </si>
  <si>
    <t>TESSA explains that AI predicting student academic success could potentially fall within the high-risk category when predictions materially influence admissions, scholarships, educational progression, or other important opportunities. The risk level depends heavily on how the predictions are used in decision-making.</t>
  </si>
  <si>
    <t>Correctly uses context and impact to determine classification.</t>
  </si>
  <si>
    <t>H3</t>
  </si>
  <si>
    <t>Could facial recognition for campus access create high-risk AI obligations?</t>
  </si>
  <si>
    <t>TESSA explains that facial recognition systems used for campus access may trigger high-risk AI obligations because they involve biometric identification, surveillance concerns, privacy risks, and potential impacts on students’ rights and access to educational facilities.</t>
  </si>
  <si>
    <t>Identifies concerns but should more clearly distinguish identification from verification/authentication.</t>
  </si>
  <si>
    <t>The response is mostly aligned with the official source, but it is incomplete or ambiguous. Identifies concerns but should more clearly distinguish identification from verification/authentication.</t>
  </si>
  <si>
    <t>Some overgeneralisation, ambiguity, or unsupported assumption is present. Identifies concerns but should more clearly distinguish identification from verification/authentication.</t>
  </si>
  <si>
    <t>Overall, the response is usable for educational guidance, but it needs refinement to improve legal precision or governance specificity. Identifies concerns but should more clearly distinguish identification from verification/authentication.</t>
  </si>
  <si>
    <t>H4</t>
  </si>
  <si>
    <t>Would AI systems monitoring online examinations raise high-risk concerns?</t>
  </si>
  <si>
    <t>Chapter 3.1 — Monitoring and Educational AI Systems</t>
  </si>
  <si>
    <t>EU AI Act — Annex III, Point 3; Article 5(1)(f): Emotion Recognition Restrictions</t>
  </si>
  <si>
    <t>TESSA explains that AI proctoring and online examination-monitoring systems may raise high-risk concerns because they can involve biometric analysis, behavioral monitoring, emotion recognition, and automated suspicion scoring. Key concerns include privacy, discrimination, surveillance, fairness, and psychological impacts on students.</t>
  </si>
  <si>
    <t>Correctly flags the high-risk and prohibited-use dimensions.</t>
  </si>
  <si>
    <t>H5</t>
  </si>
  <si>
    <t>Is AI used for scholarship ranking considered high-risk decision-making?</t>
  </si>
  <si>
    <t>Chapter 3.1 — Automated Educational Decision-Making</t>
  </si>
  <si>
    <t>EU AI Act — Annex III, Point 3: Access to Education and Evaluation Systems</t>
  </si>
  <si>
    <t>TESSA explains that AI systems used for scholarship ranking or allocation could potentially be considered high-risk because they may significantly affect educational access, financial opportunities, fairness, and equal treatment. Strong governance, transparency, fairness testing, and human oversight are recommended.</t>
  </si>
  <si>
    <t>Accurately identifies high-risk decision-making implications.</t>
  </si>
  <si>
    <t>H6</t>
  </si>
  <si>
    <t>Could AI-based behavioral profiling of students fall within high-risk classification?</t>
  </si>
  <si>
    <t>Chapter 3.1 — Student Profiling and Educational Risks</t>
  </si>
  <si>
    <t>EU AI Act — Annex III, Point 3: Profiling in Educational Contexts</t>
  </si>
  <si>
    <t>TESSA explains that AI-based behavioral profiling of students could potentially fall within the high-risk category when profiling influences educational opportunities, disciplinary actions, or academic progression. Concerns include discrimination, stigmatization, excessive surveillance, and opaque automated judgments.</t>
  </si>
  <si>
    <t>Correctly frames profiling as impact-dependent high-risk.</t>
  </si>
  <si>
    <t>H7</t>
  </si>
  <si>
    <t>Would AI systems evaluating student performance automatically require strict compliance obligations?</t>
  </si>
  <si>
    <t>Chapter 3.1 — High-Risk Educational Assessment Systems</t>
  </si>
  <si>
    <t>EU AI Act — Articles 8–15: Requirements for High-Risk AI Systems</t>
  </si>
  <si>
    <t>TESSA explains that educational AI systems evaluating student performance do not automatically become high-risk, but strict compliance obligations may apply if they significantly affect grading, advancement, disciplinary outcomes, or educational opportunities. The impact and level of automation are key determining factors.</t>
  </si>
  <si>
    <t>The response is mostly correct but may understate that evaluation of learning outcomes is expressly high-risk when material.</t>
  </si>
  <si>
    <t>The response is mostly aligned with the official source, but it is incomplete or ambiguous. The response is mostly correct but may understate that evaluation of learning outcomes is expressly high-risk when material.</t>
  </si>
  <si>
    <t>Some overgeneralisation, ambiguity, or unsupported assumption is present. The response is mostly correct but may understate that evaluation of learning outcomes is expressly high-risk when material.</t>
  </si>
  <si>
    <t>Overall, the response is usable for educational guidance, but it needs refinement to improve legal precision or governance specificity. The response is mostly correct but may understate that evaluation of learning outcomes is expressly high-risk when material.</t>
  </si>
  <si>
    <t>H8</t>
  </si>
  <si>
    <t>Can AI systems supporting disciplinary decisions against students be considered high-risk?</t>
  </si>
  <si>
    <t>Chapter 3.1 — AI Decision-Making Affecting Students</t>
  </si>
  <si>
    <t>EU AI Act — Annex III, Point 3: AI Systems Affecting Educational Access and Outcomes</t>
  </si>
  <si>
    <t>TESSA explains that AI systems supporting disciplinary decisions could potentially be considered high-risk because they may profile behavior, influence sanctions, and affect students’ educational rights and opportunities. The guidance emphasizes transparency, fairness testing, human review, and careful governance.</t>
  </si>
  <si>
    <t>Aligned with risk-based governance and educational rights concerns.</t>
  </si>
  <si>
    <t>H9</t>
  </si>
  <si>
    <t>Would biometric identification systems used in universities require high-risk compliance measures?</t>
  </si>
  <si>
    <t>Chapter 1 — Biometric Identification and Monitoring</t>
  </si>
  <si>
    <t>EU AI Act — Annex III, Point 1; Articles 8–15 High-Risk AI Obligations</t>
  </si>
  <si>
    <t>TESSA explains that biometric identification systems in universities may require high-risk compliance measures because they process sensitive biometric data and may involve surveillance, continuous monitoring, or restrictions on educational access. Strong oversight, transparency, bias testing, and GDPR alignment are emphasized.</t>
  </si>
  <si>
    <t>Correctly identifies sensitivity but should distinguish high-risk biometric identification from verification/authentication.</t>
  </si>
  <si>
    <t>The response is mostly aligned with the official source, but it is incomplete or ambiguous. Correctly identifies sensitivity but should distinguish high-risk biometric identification from verification/authentication.</t>
  </si>
  <si>
    <t>Some overgeneralisation, ambiguity, or unsupported assumption is present. Correctly identifies sensitivity but should distinguish high-risk biometric identification from verification/authentication.</t>
  </si>
  <si>
    <t>Overall, the response is usable for educational guidance, but it needs refinement to improve legal precision or governance specificity. Correctly identifies sensitivity but should distinguish high-risk biometric identification from verification/authentication.</t>
  </si>
  <si>
    <t>H10</t>
  </si>
  <si>
    <t>What obligations apply to educational AI systems classified as high-risk?</t>
  </si>
  <si>
    <t>Chapter 3.1 — Requirements for High-Risk AI Systems</t>
  </si>
  <si>
    <t>EU AI Act — Articles 8–15: Risk Management, Data Governance, Technical Documentation, Logging, Transparency, Human Oversight, Accuracy, Robustness, and Cybersecurity</t>
  </si>
  <si>
    <t>TESSA explains that high-risk educational AI systems require structured governance measures including risk assessments, human oversight, transparency, explainability, fairness controls, documentation, continuous monitoring, and strong data governance aligned with GDPR principles.</t>
  </si>
  <si>
    <t>Accurately summarizes core high-risk obligations.</t>
  </si>
  <si>
    <t>GPAI / Foundation Models</t>
  </si>
  <si>
    <t>Tests understanding of newer EU AI Act obligations related to GPAI systems</t>
  </si>
  <si>
    <t>Important because many students use LLM-based systems</t>
  </si>
  <si>
    <t>F1</t>
  </si>
  <si>
    <t>What is a General-Purpose AI (GPAI) model under the EU AI Act?</t>
  </si>
  <si>
    <t>TESSA explains that GPAI models are adaptable AI systems designed to perform many different tasks across multiple contexts rather than serving one narrow purpose. It emphasizes that the risk level depends mainly on how the model is deployed and whether it affects people’s rights, opportunities, or important decisions.</t>
  </si>
  <si>
    <t>Correct broad-purpose idea, but conflates model and system and makes deployment-risk language too central to the definition.</t>
  </si>
  <si>
    <t>The response is mostly aligned with the official source, but it is incomplete or ambiguous. Correct broad-purpose idea, but conflates model and system and makes deployment-risk language too central to the definition.</t>
  </si>
  <si>
    <t>Some overgeneralisation, ambiguity, or unsupported assumption is present. Correct broad-purpose idea, but conflates model and system and makes deployment-risk language too central to the definition.</t>
  </si>
  <si>
    <t>Overall, the response is usable for educational guidance, but it needs refinement to improve legal precision or governance specificity. Correct broad-purpose idea, but conflates model and system and makes deployment-risk language too central to the definition.</t>
  </si>
  <si>
    <t>F2</t>
  </si>
  <si>
    <t>How does a GPAI model differ from a traditional AI system?</t>
  </si>
  <si>
    <t>Chapter 3.1 — Advanced AI Models versus Application-Specific Systems</t>
  </si>
  <si>
    <t>EU AI Act — Article 3(1): Definition of an AI System; Article 3(63): Definition of a GPAI Model</t>
  </si>
  <si>
    <t>TESSA explains that traditional AI systems are usually narrow and purpose-specific, while GPAI models are flexible, reusable, and capable of supporting many downstream applications across different domains. It emphasizes that GPAI governance becomes more complex because risk classification depends heavily on deployment context.</t>
  </si>
  <si>
    <t>Good comparison, but it should more clearly state that a GPAI model is not itself a full AI system without integration components.</t>
  </si>
  <si>
    <t>The response is mostly aligned with the official source, but it is incomplete or ambiguous. Good comparison, but it should more clearly state that a GPAI model is not itself a full AI system without integration components.</t>
  </si>
  <si>
    <t>Some overgeneralisation, ambiguity, or unsupported assumption is present. Good comparison, but it should more clearly state that a GPAI model is not itself a full AI system without integration components.</t>
  </si>
  <si>
    <t>Overall, the response is usable for educational guidance, but it needs refinement to improve legal precision or governance specificity. Good comparison, but it should more clearly state that a GPAI model is not itself a full AI system without integration components.</t>
  </si>
  <si>
    <t>F3</t>
  </si>
  <si>
    <t>What obligations apply to providers of GPAI models?</t>
  </si>
  <si>
    <t>Chapter 3.1 — Governance and Compliance Responsibilities for GPAI Providers</t>
  </si>
  <si>
    <t>EU AI Act — Chapter V: General-Purpose AI Models; Articles 53–55</t>
  </si>
  <si>
    <t>TESSA explains that GPAI providers may face obligations related to risk management, transparency, governance, documentation, fairness monitoring, human oversight support, and continuous monitoring. Providers are described as carrying some of the strongest compliance responsibilities within the AI ecosystem.</t>
  </si>
  <si>
    <t>Identifies general governance but misses several specific Chapter V duties and adds some high-risk-style obligations not always applicable.</t>
  </si>
  <si>
    <t>The response is mostly aligned with the official source, but it is incomplete or ambiguous. Identifies general governance but misses several specific Chapter V duties and adds some high-risk-style obligations not always applicable.</t>
  </si>
  <si>
    <t>Some overgeneralisation, ambiguity, or unsupported assumption is present. Identifies general governance but misses several specific Chapter V duties and adds some high-risk-style obligations not always applicable.</t>
  </si>
  <si>
    <t>Overall, the response is usable for educational guidance, but it needs refinement to improve legal precision or governance specificity. Identifies general governance but misses several specific Chapter V duties and adds some high-risk-style obligations not always applicable.</t>
  </si>
  <si>
    <t>F4</t>
  </si>
  <si>
    <t>Would ChatGPT integrated into a university platform involve GPAI-related considerations?</t>
  </si>
  <si>
    <t>Chapter 3.1 — Use of Foundation Models in Educational Contexts</t>
  </si>
  <si>
    <t>EU AI Act — Article 3(63): GPAI Models; Chapter V Obligations for GPAI Providers and Deployers</t>
  </si>
  <si>
    <t>TESSA explains that integrating ChatGPT or similar GPAI systems into university platforms raises GPAI-related governance considerations because the deployment context may affect students’ rights, educational opportunities, fairness, and privacy. Higher-risk obligations become more relevant when AI supports admissions, grading, disciplinary decisions, or profiling.</t>
  </si>
  <si>
    <t>Correctly ties GPAI deployment to context-specific educational risk.</t>
  </si>
  <si>
    <t>The response is legally consistent with the expected EU AI Act interpretation for this GPAI/foundation models scenario. It does not show major contradiction with the official source.</t>
  </si>
  <si>
    <t>F5</t>
  </si>
  <si>
    <t>What transparency obligations apply to generative AI systems?</t>
  </si>
  <si>
    <t>EU AI Act — Article 50(1)–(4): Transparency Obligations for Generative AI and AI-Generated Content</t>
  </si>
  <si>
    <t>TESSA explains that generative AI systems should clearly disclose when users interact with AI or consume AI-generated content. Transparency measures include labeling synthetic content, explaining system limitations, supporting explainability, and maintaining governance documentation and oversight procedures.</t>
  </si>
  <si>
    <t>Mostly correct, but it blends system-level Article 50 disclosure with broader governance documentation without specifying applicability.</t>
  </si>
  <si>
    <t>The response is mostly aligned with the official source, but it is incomplete or ambiguous. Mostly correct, but it blends system-level Article 50 disclosure with broader governance documentation without specifying applicability.</t>
  </si>
  <si>
    <t>Some overgeneralisation, ambiguity, or unsupported assumption is present. Mostly correct, but it blends system-level Article 50 disclosure with broader governance documentation without specifying applicability.</t>
  </si>
  <si>
    <t>Overall, the response is usable for educational guidance, but it needs refinement to improve legal precision or governance specificity. Mostly correct, but it blends system-level Article 50 disclosure with broader governance documentation without specifying applicability.</t>
  </si>
  <si>
    <t>F6</t>
  </si>
  <si>
    <t>Could students fine-tuning a foundation model create additional compliance responsibilities?</t>
  </si>
  <si>
    <t>Chapter 3.1 — Modification and Fine-Tuning of Advanced AI Models</t>
  </si>
  <si>
    <t>EU AI Act — Article 25: Substantial Modification; Chapter V: GPAI Model Obligations</t>
  </si>
  <si>
    <t>TESSA explains that fine-tuning foundation or GPAI models may create additional compliance responsibilities because modifying a model can introduce new risks, alter governance obligations, and potentially shift students or universities into provider-like roles depending on deployment and impact.</t>
  </si>
  <si>
    <t>Correct direction, but should distinguish student experimentation from market/operational deployment and specify when obligations attach.</t>
  </si>
  <si>
    <t>The response is mostly aligned with the official source, but it is incomplete or ambiguous. Correct direction, but should distinguish student experimentation from market/operational deployment and specify when obligations attach.</t>
  </si>
  <si>
    <t>Some overgeneralisation, ambiguity, or unsupported assumption is present. Correct direction, but should distinguish student experimentation from market/operational deployment and specify when obligations attach.</t>
  </si>
  <si>
    <t>Overall, the response is usable for educational guidance, but it needs refinement to improve legal precision or governance specificity. Correct direction, but should distinguish student experimentation from market/operational deployment and specify when obligations attach.</t>
  </si>
  <si>
    <t>F7</t>
  </si>
  <si>
    <t>What risks should universities consider before deploying GPAI systems?</t>
  </si>
  <si>
    <t>Chapter 3.1 — Risk Governance for Foundation and Generative AI Models</t>
  </si>
  <si>
    <t>EU AI Act — Articles 9–15: High-Risk AI Requirements; Chapter V GPAI Obligations</t>
  </si>
  <si>
    <t>TESSA explains that universities should assess risks related to fairness, bias, hallucinations, misinformation, transparency, behavioral profiling, privacy, surveillance, over-automation, and governance accountability before deploying GPAI systems. The guidance emphasizes strong oversight and deployment-specific risk assessments.</t>
  </si>
  <si>
    <t>Aligned with deployment-specific risk assessment.</t>
  </si>
  <si>
    <t>F8</t>
  </si>
  <si>
    <t>How can GPAI systems contribute to misinformation or hallucination risks in education?</t>
  </si>
  <si>
    <t>Chapter 3.2 — Ethical Risks and Reliability Challenges in AI Systems</t>
  </si>
  <si>
    <t>EU AI Act — Article 13: Transparency and Information to Users; Article 50: Disclosure Obligations</t>
  </si>
  <si>
    <t>TESSA explains that GPAI systems may generate inaccurate facts, fabricated references, misleading educational guidance, or biased outputs while sounding authoritative. It emphasizes the importance of human oversight, verification, transparency, monitoring, and educating users about AI limitations.</t>
  </si>
  <si>
    <t>Accurately captures the risk and mitigations.</t>
  </si>
  <si>
    <t>F9</t>
  </si>
  <si>
    <t>What documentation may be required for GPAI systems under the EU AI Act?</t>
  </si>
  <si>
    <t>Chapter 2.3 — Documentation and Governance Requirements</t>
  </si>
  <si>
    <t>EU AI Act — Article 53: Technical Documentation and Information Requirements for GPAI Providers</t>
  </si>
  <si>
    <t>TESSA explains that GPAI systems may require extensive documentation covering system purpose, technical specifications, datasets, governance processes, risk assessments, human oversight procedures, transparency measures, monitoring logs, and incident trackin</t>
  </si>
  <si>
    <t>The response is incomplete/truncated and only broadly describes documentation without the specific Article 53/GPAI elements.</t>
  </si>
  <si>
    <t>The response is mostly aligned with the official source, but it is incomplete or ambiguous. The response is incomplete/truncated and only broadly describes documentation without the specific Article 53/GPAI elements.</t>
  </si>
  <si>
    <t>Some overgeneralisation, ambiguity, or unsupported assumption is present. The response is incomplete/truncated and only broadly describes documentation without the specific Article 53/GPAI elements.</t>
  </si>
  <si>
    <t>Overall, the response is usable for educational guidance, but it needs refinement to improve legal precision or governance specificity. The response is incomplete/truncated and only broadly describes documentation without the specific Article 53/GPAI elements.</t>
  </si>
  <si>
    <t>F10</t>
  </si>
  <si>
    <t>Why is human oversight important when using foundation models in educational environments?</t>
  </si>
  <si>
    <t>No TESSA response or official/book source entry is provided in the row, so it cannot be matched.</t>
  </si>
  <si>
    <t>SMEs perspective</t>
  </si>
  <si>
    <t>Tests whether TESSA can apply EU AI Act requirements and risk classifications to realistic SME business situations.</t>
  </si>
  <si>
    <t>Demonstrates practical compliance guidance and the ability to support SME decision-making in real-world AI adoption contexts.</t>
  </si>
  <si>
    <t>SME1</t>
  </si>
  <si>
    <t>An SME uses an AI chatbot to answer customer support questions. What EU AI Act obligations may apply?</t>
  </si>
  <si>
    <t>Chapter 2.3 — Tools for AI Compliance and Ethical AI Practices; Chapter 3.1 — Transparency and Governance Requirements</t>
  </si>
  <si>
    <t>EU AI Act — Article 50(1): Transparency Obligations for AI Systems Interacting with Natural Persons</t>
  </si>
  <si>
    <t>TESSA explains that customer-support chatbots are generally classified as limited-risk or minimal-risk AI systems. The main obligations involve transparency, user awareness, monitoring outputs, maintaining human escalation options, protecting personal data, and ensuring reasonable governance and documentation practices.</t>
  </si>
  <si>
    <t>TESSA correctly identifies chatbot transparency obligations and proportionate governance expectations for SMEs.</t>
  </si>
  <si>
    <t>The response is legally consistent with the expected EU AI Act interpretation for this SME AI use case scenario. It does not show major contradiction with the official source.</t>
  </si>
  <si>
    <t>SME2</t>
  </si>
  <si>
    <t>A small recruitment company uses AI to screen job applicants. Could this be considered high-risk AI?</t>
  </si>
  <si>
    <t>Chapter 3.1 — High-Risk AI Systems in Employment and Decision-Making</t>
  </si>
  <si>
    <t>EU AI Act — Annex III, Point 4: Employment, Worker Management, and Access to Self-Employment; Article 6: High-Risk AI Classification</t>
  </si>
  <si>
    <t>TESSA explains that AI systems used for recruitment and applicant screening are likely to raise high-risk AI concerns because they may significantly affect employment opportunities and create risks related to bias, discrimination, fairness, transparency, and automated decision-making.</t>
  </si>
  <si>
    <t>TESSA accurately identifies recruitment AI as likely high-risk and highlights fairness and discrimination concerns consistent with the EU AI Act.</t>
  </si>
  <si>
    <t>SME3</t>
  </si>
  <si>
    <t>An SME deploys AI to monitor employee productivity. What compliance and ethical concerns should be evaluated?</t>
  </si>
  <si>
    <t>Chapter 2.2 — AI Bias and Discrimination; Chapter 3.2 — Ethical Governance and Human Oversight</t>
  </si>
  <si>
    <t>EU AI Act — Annex III, Point 4: Worker Management and Monitoring Systems; Article 10: Data Governance; Article 14: Human Oversight</t>
  </si>
  <si>
    <t>TESSA explains that AI-based employee monitoring raises concerns related to privacy, worker surveillance, fairness, proportionality, transparency, bias, and psychological impact. The guidance emphasizes human oversight, clear governance policies, and careful evaluation of intrusive monitoring practices.</t>
  </si>
  <si>
    <t>TESSA correctly emphasizes ethical and compliance risks related to worker monitoring and aligns with governance expectations under Articles 10 and 14.</t>
  </si>
  <si>
    <t>SME4</t>
  </si>
  <si>
    <t>A retail SME uses generative AI to create marketing content and product images. Are transparency disclosures required?</t>
  </si>
  <si>
    <t>Chapter 2.3 — Transparency Obligations for Generative AI and Synthetic Content</t>
  </si>
  <si>
    <t>EU AI Act — Article 50(2) and 50(4): Disclosure Obligations for AI-Generated and Manipulated Content</t>
  </si>
  <si>
    <t>TESSA explains that generative AI used for marketing content and synthetic product images may require transparency disclosures, especially where users could mistake AI-generated material for authentic human-created content. Transparency and avoidance of deceptive synthetic media are emphasized.</t>
  </si>
  <si>
    <t>TESSA appropriately links generative marketing content with transparency and disclosure obligations under Article 50.</t>
  </si>
  <si>
    <t>SME5</t>
  </si>
  <si>
    <t>A healthcare SME develops an AI tool to assist medical appointment prioritization. Could this fall under high-risk AI?</t>
  </si>
  <si>
    <t>Chapter 3.1 — High-Risk AI Systems in Healthcare and Essential Services</t>
  </si>
  <si>
    <t>EU AI Act — Annex III, Point 5: Access to and Enjoyment of Essential Private and Public Services; Article 6: High-Risk Classification</t>
  </si>
  <si>
    <t>TESSA explains that AI systems supporting healthcare prioritization may potentially fall within the high-risk category because they can affect access to healthcare services and individuals’ wellbeing. Key concerns include fairness, transparency, reliability, human oversight, and risk management.</t>
  </si>
  <si>
    <t>TESSA correctly identifies potential high-risk classification and associated healthcare governance concerns.</t>
  </si>
  <si>
    <t>SME6</t>
  </si>
  <si>
    <t>An SME integrates ChatGPT into its internal workflow for drafting reports and emails. What governance measures should be considered?</t>
  </si>
  <si>
    <t>Chapter 3.1 — Governance of GPAI and Generative AI Systems; Chapter 2.3 — Documentation and Human Oversight</t>
  </si>
  <si>
    <t>EU AI Act — Article 50: Transparency Obligations; Chapter V: General-Purpose AI Models</t>
  </si>
  <si>
    <t>TESSA explains that SMEs using ChatGPT internally should implement governance measures such as transparency, human oversight, monitoring of hallucinations and inaccuracies, documentation, privacy controls, staff guidance, and clear accountability structures for AI-assisted workflows.</t>
  </si>
  <si>
    <t>TESSA provides practical governance guidance aligned with book recommendations and transparency principles.</t>
  </si>
  <si>
    <t>SME7</t>
  </si>
  <si>
    <t>A manufacturing SME uses AI for predictive maintenance and safety monitoring. What EU AI Act obligations may apply?</t>
  </si>
  <si>
    <t>Chapter 3.1 — AI Systems in Safety-Critical and Industrial Contexts</t>
  </si>
  <si>
    <t>EU AI Act — Article 6: High-Risk AI Systems; Annex III; Articles 9–15: Requirements for High-Risk AI Systems</t>
  </si>
  <si>
    <t>TESSA explains that predictive-maintenance and safety-monitoring AI systems may trigger stricter obligations when they affect operational safety or critical infrastructure. Recommended measures include risk assessments, monitoring, documentation, transparency, human oversight, and reliability testing.</t>
  </si>
  <si>
    <t>TESSA correctly identifies possible high-risk obligations but could more clearly distinguish between ordinary industrial AI and safety-component AI under the EU AI Act.</t>
  </si>
  <si>
    <t>The response is mostly aligned with the official source, but it is incomplete or ambiguous. TESSA correctly identifies possible high-risk obligations but could more clearly distinguish between ordinary industrial AI and safety-component AI under the EU AI Act.</t>
  </si>
  <si>
    <t>Some overgeneralisation, ambiguity, or unsupported assumption is present. TESSA correctly identifies possible high-risk obligations but could more clearly distinguish between ordinary industrial AI and safety-component AI under the EU AI Act.</t>
  </si>
  <si>
    <t>Overall, the response is usable for educational guidance, but it needs refinement to improve legal precision or governance specificity. TESSA correctly identifies possible high-risk obligations but could more clearly distinguish between ordinary industrial AI and safety-component AI under the EU AI Act.</t>
  </si>
  <si>
    <t>SME8</t>
  </si>
  <si>
    <t>An SME collects customer voice recordings to improve an AI assistant. What legal and compliance risks should be considered?</t>
  </si>
  <si>
    <t>Chapter 2.1.2 — Risk Mitigation and Data Governance; Chapter 2.3 — Privacy and Documentation Practices</t>
  </si>
  <si>
    <t>EU AI Act — Article 10: Data and Data Governance; Article 50: Transparency Obligations; GDPR Coordination Requirements</t>
  </si>
  <si>
    <t>TESSA explains that collecting customer voice recordings raises significant privacy, GDPR, transparency, biometric-data, fairness, and security concerns. Risk sensitivity increases if the system performs voice identification, emotional analysis, or behavioral profiling.</t>
  </si>
  <si>
    <t>TESSA accurately identifies major compliance risks and appropriately highlights biometric and profiling concerns.</t>
  </si>
  <si>
    <t>SME9</t>
  </si>
  <si>
    <t>A financial services SME uses AI to evaluate loan applications. Would this likely be classified as high-risk AI?</t>
  </si>
  <si>
    <t>Chapter 3.1 — High-Risk AI Systems in Financial Decision-Making</t>
  </si>
  <si>
    <t>EU AI Act — Annex III, Point 5: Creditworthiness Evaluation and Access to Essential Services; Article 6: High-Risk Classification</t>
  </si>
  <si>
    <t>TESSA explains that AI systems evaluating loan applications are very likely to be classified as high-risk AI because they influence access to essential financial services and may create discrimination, fairness, transparency, and accountability concerns. Human oversight, explainability, and bias monitoring are strongly emphasized.</t>
  </si>
  <si>
    <t>TESSA correctly classifies the system as likely high-risk and highlights the core regulatory concerns expected by the EU AI Act.</t>
  </si>
  <si>
    <t>SME10</t>
  </si>
  <si>
    <t>An SME deploys an AI-powered emotion recognition system for customer satisfaction analysis. What EU AI Act concerns may arise?</t>
  </si>
  <si>
    <t>Chapter 1 — Emotion Recognition and Sensitive AI Practices; Chapter 3.2 — Ethical Governance and Human Rights Risks</t>
  </si>
  <si>
    <t>EU AI Act — Article 5: Prohibited AI Practices; Article 50: Transparency Obligations; Annex III, Point 1: Biometric Systems</t>
  </si>
  <si>
    <t>TESSA explains that emotion-recognition systems raise significant concerns related to emotional profiling, biometric analysis, privacy, transparency, discrimination, manipulation risks, and surveillance. Depending on deployment context, such systems may move beyond limited-risk AI toward high-risk or potentially prohibited practices.</t>
  </si>
  <si>
    <t>TESSA appropriately captures the heightened sensitivity and potential prohibition/high-risk implications of emotion-recognition AI systems.</t>
  </si>
  <si>
    <t>Count</t>
  </si>
  <si>
    <t>Share</t>
  </si>
  <si>
    <t>Notes</t>
  </si>
  <si>
    <t>Aligned</t>
  </si>
  <si>
    <t>Mostly correct but incomplete or lacking nuance</t>
  </si>
  <si>
    <t>Incorrect, misleading, or no response</t>
  </si>
  <si>
    <t>total</t>
  </si>
  <si>
    <t>Criterion</t>
  </si>
  <si>
    <t>Review Questions</t>
  </si>
  <si>
    <t>Strong / Low Risk (Green)</t>
  </si>
  <si>
    <t>Acceptable / Medium Risk (Orange)</t>
  </si>
  <si>
    <t>Weak / High Risk (Red)</t>
  </si>
  <si>
    <t>Does the response reasonably align with EU AI Act concepts, risk classifications, and compliance obligations? Does it avoid major legal contradictions or misleading interpretations?</t>
  </si>
  <si>
    <t>Strong: Legally consistent and appropriately aligned with official sources</t>
  </si>
  <si>
    <t>Acceptable: Mostly aligned but contains minor ambiguity or incomplete interpretation</t>
  </si>
  <si>
    <t>Weak: Legally misleading, incorrect, or significantly inconsistent with official sources</t>
  </si>
  <si>
    <t>Is the explanation understandable for students, SMEs, or non-legal users? Is the response clearly structured and practically understandable?</t>
  </si>
  <si>
    <t>Strong: Clear, accessible, and easy to understand</t>
  </si>
  <si>
    <t>Acceptable: Generally understandable but may contain unclear or overly complex parts</t>
  </si>
  <si>
    <t>Weak: Confusing, poorly structured, or difficult for intended users to understand</t>
  </si>
  <si>
    <t>Does the response promote responsible AI use, risk awareness, transparency, and appropriate governance practices? Are the recommendations proportionate and appropriate for the scenario?</t>
  </si>
  <si>
    <t>Strong: Promotes responsible and appropriate governance practices</t>
  </si>
  <si>
    <t>Acceptable: Generally appropriate but lacks nuance or practical guidance</t>
  </si>
  <si>
    <t>Weak: Inappropriate, insufficient, or potentially irresponsible governance guidance</t>
  </si>
  <si>
    <t>Does the response avoid unsupported claims, invented legal obligations, or overconfident conclusions? Are uncertainties or limitations appropriately acknowledged when needed?</t>
  </si>
  <si>
    <t>Low Risk: No significant unsupported or fabricated claims detected</t>
  </si>
  <si>
    <t>Medium Risk: Minor unsupported assumptions or overgeneralizations present</t>
  </si>
  <si>
    <t>High Risk: Contains fabricated, misleading, or unsupported legal/compliance claims</t>
  </si>
  <si>
    <t>Overall, how reliable and appropriate is the response for educational and compliance-oriented guidance?</t>
  </si>
  <si>
    <t>Strong: Reliable and appropriate for educational compliance guidance</t>
  </si>
  <si>
    <t>Acceptable: Mostly reliable with some limitations</t>
  </si>
  <si>
    <t>Weak: Insufficiently reliable or potentially misleading</t>
  </si>
  <si>
    <t>A correct response should distinguish minimal-risk AI, which normally has no specific EU AI Act obligations beyond general good practice, from high-risk AI under Article 6 and Annex III, which requires risk management, data governance, technical documentation, logging, transparency, human oversight, accuracy, robustness, and cybersecurity.</t>
  </si>
  <si>
    <t>A correct response should identify Article 5 prohibited practices as unacceptable-risk AI uses, including harmful manipulation, exploitation of vulnerabilities, certain social scoring, certain predictive policing, untargeted facial-image scraping, emotion recognition in workplace and educational settings except limited exceptions, and biometric categorisation based on sensitive characteristics.</t>
  </si>
  <si>
    <t>A correct response should explain that a GPAI model is an AI model capable of competently performing a wide range of distinct tasks and that it can be integrated into many downstream systems or applications. It should distinguish the model from a specific deployed AI system and note that downstream use affects risk classification.</t>
  </si>
  <si>
    <t>A correct response should explain that transparency obligations include providing understandable information for high-risk systems, informing users when they interact with AI, and disclosing or labeling certain AI-generated or manipulated content, especially synthetic audio, image, video, or text where deception or public-interest risk may arise.</t>
  </si>
  <si>
    <t>A correct response should explain that human oversight requires appropriate human supervision, intervention, and override capacities, especially for high-risk AI systems, so that risks to health, safety, and fundamental rights can be prevented or minimized.</t>
  </si>
  <si>
    <t>A correct response should explain that AI literacy means ensuring providers and deployers take measures so staff and relevant users have sufficient AI-related skills, knowledge, and understanding to use AI systems responsibly, considering the technical context, affected persons, and risks.</t>
  </si>
  <si>
    <t>A correct response should explain that biometric identification involves recognizing or verifying a person by comparing biometric data derived from physical, physiological, or behavioral characteristics, such as face, fingerprint, iris, or voice patterns. It should note the heightened privacy and fundamental-rights sensitivity.</t>
  </si>
  <si>
    <t>A correct response should explain that Annex III lists use-case areas that are treated as high-risk when Article 6 conditions are met, including biometrics, education, employment, essential services, law enforcement, migration, justice, and democratic processes.</t>
  </si>
  <si>
    <t>A correct response should distinguish provider and deployer roles: a provider develops or places an AI system or GPAI model on the market or puts it into service under its name or trademark, while a deployer uses an AI system under its authority, except for personal non-professional activity.</t>
  </si>
  <si>
    <t>A correct response should classify a university FAQ chatbot as generally limited-risk or low-risk, with key duties focused on disclosure that users interact with AI, accuracy controls, privacy safeguards, monitoring, and human escalation for unresolved or sensitive questions.</t>
  </si>
  <si>
    <t>A correct response should state that facial recognition for classroom attendance raises biometric-identification and data-protection issues and may trigger high-risk obligations when used for access, identification, or institutional decision-making. It should also consider proportionality, transparency, consent alternatives, bias, and human oversight.</t>
  </si>
  <si>
    <t>A correct response should explain that AI predicting student grades may be high-risk if used to evaluate learning outcomes, educational progression, access, or opportunities. If used only experimentally without decision impact, obligations may be lower but governance, fairness, and oversight remain necessary.</t>
  </si>
  <si>
    <t>A correct response should explain that course recommendation AI may be limited or minimal risk when advisory only, but risk increases if it substantially affects progression, access, or opportunities. Transparency, fairness monitoring, data governance, contestability, and human advising should be maintained.</t>
  </si>
  <si>
    <t>A correct response should explain that AI plagiarism detection requires careful governance because false positives can affect academic rights and disciplinary outcomes. It should include transparency, human review, appeal mechanisms, data governance, bias testing, and avoidance of fully automated sanctions.</t>
  </si>
  <si>
    <t>A correct response should explain that fine-tuning a GPAI model for mental-health support is highly sensitive because it may affect vulnerable persons and health-related wellbeing. It requires strong human oversight, safety boundaries, privacy protection, transparency, escalation to professionals, and assessment of whether medical or high-risk rules apply.</t>
  </si>
  <si>
    <t>A correct response should explain that AI-generated avatars, realistic synthetic video, or synthetic voices used in educational videos normally require clear disclosure where viewers could believe the content is real or human-made. Consent and avoidance of impersonation are also important.</t>
  </si>
  <si>
    <t>A correct response should explain that AI used for scholarship ranking can be high-risk because it affects educational and financial opportunities. It should require fairness and bias controls, transparency, human oversight, documentation, data governance, and appeal or review procedures.</t>
  </si>
  <si>
    <t>A correct response should explain that synthetic voices raise transparency, consent, impersonation, and deception risks. Disclosure is normally required when artificially generated or manipulated audio could mislead users, especially if it imitates real persons.</t>
  </si>
  <si>
    <t>A correct response should explain that AI webcam proctoring can raise high-risk concerns because it may involve biometric identification, behavioral monitoring, automated suspicion scoring, or emotion recognition. It should emphasize privacy, proportionality, bias, transparency, human review, appeal rights, and restrictions on emotion recognition in education.</t>
  </si>
  <si>
    <t>A correct response should classify a grammar-checking tool as generally minimal risk because it assists writing without making significant decisions about rights, opportunities, or access. Good practice includes user control, privacy, and awareness of possible bias or errors.</t>
  </si>
  <si>
    <t>A correct response should classify student recommendation AI according to its effect: advisory recommendations may be limited or minimal risk, while systems materially affecting admission, assessment, progression, or access can become high-risk under Annex III education provisions.</t>
  </si>
  <si>
    <t>A correct response should explain that facial recognition for campus access raises high-risk concerns because biometric identification can affect access to facilities and fundamental rights. It requires necessity and proportionality review, data protection, fairness testing, transparency, and human oversight.</t>
  </si>
  <si>
    <t>A correct response should state that emotion recognition in educational institutions is prohibited under Article 5, subject only to narrow medical or safety exceptions. If other biometric monitoring functions are present, high-risk obligations may also be relevant.</t>
  </si>
  <si>
    <t>A correct response should classify a chatbot that clearly identifies itself as AI as generally limited-risk under transparency rules for AI systems interacting with natural persons, unless its use case independently triggers high-risk classification.</t>
  </si>
  <si>
    <t>A correct response should explain that AI used for student admissions is high-risk under Annex III education and vocational training because it affects access to education and future opportunities. It requires high-risk governance obligations and meaningful human oversight.</t>
  </si>
  <si>
    <t>A correct response should explain that lecture-note summarization is generally minimal or limited risk, depending on whether users interact with a chatbot or rely on generated content. It should include transparency, accuracy checking, privacy, and human responsibility for learning use.</t>
  </si>
  <si>
    <t>A correct response should explain that AI-based student profiling may trigger high-risk classification when it evaluates, predicts, or influences educational performance, progression, access, or institutional treatment. It requires fairness, data governance, transparency, and human oversight.</t>
  </si>
  <si>
    <t>A correct response should explain that social scoring of students can fall under prohibited practices if it evaluates or classifies students based on social behavior or personal characteristics in ways that cause unjustified or detrimental treatment.</t>
  </si>
  <si>
    <t>A correct response should explain that generative AI in education should be assessed by purpose, user interaction, data use, autonomy, affected decisions, and potential harm. It is not automatically high-risk, but transparency, accuracy, privacy, and human oversight are important.</t>
  </si>
  <si>
    <t>A correct response should explain that students should keep proportionate documentation of system purpose, design choices, data sources, risk assessment, testing, limitations, transparency notices, human oversight, and monitoring. High-risk-like projects require more complete technical documentation and logging.</t>
  </si>
  <si>
    <t>A correct response should explain that compliance responsibility depends on legal role and context. Students, universities, and external partners may be providers, deployers, or both, depending on who develops, places into service, substantially modifies, or uses the AI system.</t>
  </si>
  <si>
    <t>A correct response should explain that educational AI oversight should include competent human review, ability to intervene or override, clear escalation and appeal routes, transparency for decision-makers, monitoring of performance and bias, and avoidance of purely automated high-impact decisions.</t>
  </si>
  <si>
    <t>A correct response should explain that students should disclose meaningful use of generative AI, especially AI-generated text, images, audio, video, avatars, or chatbot assistance, in line with transparency, academic-integrity rules, and avoidance of deception.</t>
  </si>
  <si>
    <t>A correct response should explain that responsible AI development includes risk assessment, purpose limitation, data governance, privacy protection, fairness and bias testing, transparency, human oversight, documentation, monitoring, and clear accountability.</t>
  </si>
  <si>
    <t>A correct response should explain that educational AI should be evaluated for fairness, non-discrimination, privacy, transparency, proportionality, psychological and social impact, reliability, security, accountability, and the availability of human review or appeal.</t>
  </si>
  <si>
    <t>A correct response should explain that universities should manage student AI projects with risk-based review, project documentation, privacy and data governance, transparency, human oversight, ethics review for sensitive uses, and stricter controls for biometrics, profiling, surveillance, or high-impact decisions.</t>
  </si>
  <si>
    <t>A correct response should explain that bias reduction requires representative and relevant data, data-quality checks, bias testing, human review, explainability, monitoring, appeal mechanisms, and governance procedures that prevent discriminatory outcomes.</t>
  </si>
  <si>
    <t>A correct response should explain that audit logging supports traceability, accountability, incident investigation, monitoring, and compliance demonstration, especially for high-risk AI systems where automatic logs are required.</t>
  </si>
  <si>
    <t>A correct response should explain that AI literacy helps students understand AI capabilities, limitations, risks, legal classifications, transparency duties, fairness, data protection, human oversight, and responsible development practices under the EU AI Act.</t>
  </si>
  <si>
    <t>A correct response should explain that AI which materially distorts behavior through manipulation or exploits vulnerabilities of students in a harmful way can be prohibited under Article 5. It should emphasize prevention, safeguarding, and avoidance of psychological or educational harm.</t>
  </si>
  <si>
    <t>A correct response should state clearly that emotion recognition systems in educational institutions are prohibited under Article 5, except where used for medical or safety reasons. Exam monitoring based on emotion inference should therefore be treated as legally unacceptable unless an exception applies.</t>
  </si>
  <si>
    <t>A correct response should explain that student social scoring by a university can be prohibited where it evaluates or classifies students based on social behavior or personal characteristics and causes unjustified or detrimental treatment in educational contexts.</t>
  </si>
  <si>
    <t>A correct response should explain that AI using subliminal, manipulative, or deceptive techniques that materially distort behavior and cause or are likely to cause significant harm is prohibited. In education, such techniques are especially problematic because of dependency and vulnerability.</t>
  </si>
  <si>
    <t>A correct response should explain that AI exploiting vulnerabilities due to age, disability, or specific social or economic situation in a way that materially distorts behavior and causes or is likely to cause significant harm is prohibited.</t>
  </si>
  <si>
    <t>A correct response should state that biometric categorisation to infer sensitive characteristics is prohibited under Article 5, subject to limited exceptions. Educational use would be highly problematic and should not be treated merely as ordinary high-risk AI.</t>
  </si>
  <si>
    <t>A correct response should explain that predicting or labeling 'problematic students' may be high-risk student profiling and may resemble prohibited social scoring if it leads to unjustified detrimental treatment based on social behavior or personal characteristics.</t>
  </si>
  <si>
    <t>A correct response should state that untargeted scraping of facial images from the internet or CCTV to create or expand facial-recognition databases is prohibited. In a student context, it also creates serious biometric privacy and fundamental-rights risks.</t>
  </si>
  <si>
    <t>A correct response should state that emotion recognition in educational institutions is prohibited except for medical or safety reasons. Classroom emotion inference should therefore be treated as prohibited unless a narrow exception applies, not merely as high-risk.</t>
  </si>
  <si>
    <t>A correct response should explain that covert manipulation of student decision-making can be prohibited where it materially distorts behavior and causes or is likely to cause significant harm. It also raises transparency, autonomy, accountability, and safeguarding risks.</t>
  </si>
  <si>
    <t>A correct response should classify a grammar checker as generally minimal-risk AI because it supports writing without making high-impact decisions. Privacy, transparency, and user responsibility remain good-practice safeguards.</t>
  </si>
  <si>
    <t>A correct response should classify AI-generated lecture summaries as generally minimal or limited risk when used only for study support, while noting risks of hallucination, inaccuracy, overreliance, privacy exposure, and the need to identify AI-generated content where relevant.</t>
  </si>
  <si>
    <t>A correct response should classify a campus-opening-hours chatbot as low or limited risk, with the main legal duty being disclosure that the user is interacting with AI and practical safeguards for accuracy, privacy, and escalation.</t>
  </si>
  <si>
    <t>A correct response should explain that spelling correction is generally minimal risk and normally does not require major EU AI Act compliance obligations, apart from general privacy, user control, transparency where applicable, and quality monitoring.</t>
  </si>
  <si>
    <t>A correct response should explain that AI used only to format presentations is generally minimal risk because it does not decide rights, access, or opportunities. Users should still review outputs and disclose synthetic content where needed.</t>
  </si>
  <si>
    <t>A correct response should explain that timetable recommendation tools are generally minimal or limited risk when advisory and user-controlled, but risk increases if recommendations affect access, progression, prioritization, or are based on sensitive profiling.</t>
  </si>
  <si>
    <t>A correct response should explain that AI-generated study flashcards are generally outside high-risk classification because they are optional learning aids. Accuracy review, transparency, and avoidance of overreliance remain important.</t>
  </si>
  <si>
    <t>A correct response should explain that AI lecture-note translation is generally minimal risk when used as assistive learning support, but privacy, accuracy, accessibility, bias, and disclosure of AI-generated translation should be considered.</t>
  </si>
  <si>
    <t>A correct response should explain that AI organizing research references is generally minimal risk because it supports administration or research productivity. Main concerns are hallucinated citations, data protection, bias in recommendations, and human academic responsibility.</t>
  </si>
  <si>
    <t>A correct response should explain that simple administrative AI assistants are generally minimal or limited risk when they support routine tasks and do not make high-impact decisions. Transparency, privacy, accuracy checks, escalation, and monitoring are appropriate safeguards.</t>
  </si>
  <si>
    <t>A correct response should state that a student-facing chatbot must disclose that users are interacting with AI unless this is obvious from the context. It should also include limitations, accuracy safeguards, privacy protection, and human escalation.</t>
  </si>
  <si>
    <t>A correct response should explain that synthetic voices require disclosure when artificially generated or manipulated audio could appear authentic or mislead users, especially where impersonation or realistic human voice simulation is involved.</t>
  </si>
  <si>
    <t>A correct response should explain that AI-generated educational videos should be labeled when they contain synthetic or manipulated content that could be mistaken for authentic human-created or real-world content, especially deepfake-like media.</t>
  </si>
  <si>
    <t>A correct response should explain that generative AI used in classroom materials can create transparency duties where students interact with AI or consume AI-generated content. Human review, accuracy checking, disclosure, and data protection are expected safeguards.</t>
  </si>
  <si>
    <t>A correct response should explain that an AI tutoring assistant normally triggers limited-risk transparency obligations because students interact with AI. Risk may increase if it evaluates students, profiles them, or affects educational decisions.</t>
  </si>
  <si>
    <t>A correct response should explain that disclosure of AI-generated text in assignments is primarily an academic-integrity and transparency requirement, while EU AI Act Article 50 focuses on certain providers/deployers and publication contexts. Students should disclose meaningful AI use under institutional policy.</t>
  </si>
  <si>
    <t>A correct response should explain that realistic AI-generated images for university projects require disclosure when they could mislead viewers into believing they are authentic. Deepfake-like or synthetic media should be clearly labeled and used responsibly.</t>
  </si>
  <si>
    <t>A correct response should explain that conversational AI systems in education normally trigger transparency obligations because users should know they are interacting with AI. Additional safeguards include limitations, privacy, human escalation, and monitoring.</t>
  </si>
  <si>
    <t>A correct response should explain that AI-generated summaries in academic advising require transparency and human review because they may influence educational choices. Risk increases if the summaries drive decisions about progression, support, or opportunities.</t>
  </si>
  <si>
    <t>A correct response should explain that universities deploying generative AI services should disclose AI interaction, label relevant generated content, explain limitations, ensure human oversight, protect personal data, monitor accuracy and bias, and define accountability.</t>
  </si>
  <si>
    <t>A correct response should state that AI used in student admission decisions is high-risk under Annex III because it affects access to education. It should require Articles 8–15 style obligations including risk management, data governance, documentation, logging, transparency, human oversight, accuracy, robustness, and cybersecurity.</t>
  </si>
  <si>
    <t>A correct response should explain that predicting academic success can be high-risk when it is used to determine admission, evaluation, progression, support allocation, or other educational opportunities. Purely advisory or research uses require proportionate governance but may not be high-risk.</t>
  </si>
  <si>
    <t>A correct response should explain that facial recognition for campus access can be high-risk because it involves biometric identification and may control access to facilities. It requires proportionality, data protection, transparency, fairness testing, human oversight, and alternatives where appropriate.</t>
  </si>
  <si>
    <t>A correct response should explain that AI online exam monitoring may be high-risk when it assesses students, detects suspicious behavior, or uses biometric identification. Emotion recognition in education is prohibited except for medical or safety reasons. Human review and appeals are essential.</t>
  </si>
  <si>
    <t>A correct response should explain that AI scholarship ranking can be high-risk because it affects access to educational and financial opportunities. It requires fairness, transparency, data governance, human oversight, documentation, and review or appeal mechanisms.</t>
  </si>
  <si>
    <t>A correct response should explain that behavioral profiling of students can be high-risk when it affects educational outcomes, disciplinary action, progression, or access to services. It raises discrimination, surveillance, stigmatization, data protection, and transparency concerns.</t>
  </si>
  <si>
    <t>A correct response should explain that AI evaluating student performance is high-risk when it materially affects assessment, grading, progression, access, or opportunities. Strict obligations do not apply to every low-impact support tool, so classification depends on impact and use.</t>
  </si>
  <si>
    <t>A correct response should explain that AI supporting disciplinary decisions can be high-risk where it affects student rights, sanctions, or educational opportunities. It requires transparency, fairness, human review, data governance, documentation, and appeal mechanisms.</t>
  </si>
  <si>
    <t>A correct response should explain that biometric identification in universities may trigger high-risk obligations when used for identification, access, monitoring, or decision support. It also requires GDPR-aligned safeguards, transparency, proportionality, bias testing, and human oversight.</t>
  </si>
  <si>
    <t>A correct response should list high-risk obligations for educational AI: risk management, data governance, technical documentation, record-keeping/logging, transparency and instructions for use, human oversight, accuracy, robustness, cybersecurity, post-market monitoring, and incident reporting where applicable.</t>
  </si>
  <si>
    <t>A correct response should define a GPAI model as a model capable of performing a wide range of distinct tasks and capable of integration into a variety of downstream systems or applications. It should distinguish model-level duties from downstream AI system duties.</t>
  </si>
  <si>
    <t>A correct response should explain that a traditional AI system is usually designed for a specific purpose or deployment context, while a GPAI model is reusable and adaptable across many tasks and downstream applications. Risk depends on how it is integrated and used.</t>
  </si>
  <si>
    <t>A correct response should explain that GPAI providers must prepare and maintain technical documentation, provide information to downstream providers, comply with EU copyright rules, publish a training-content summary, and, for systemic-risk GPAI, conduct model evaluation, risk mitigation, incident reporting, cybersecurity, and additional monitoring.</t>
  </si>
  <si>
    <t>A correct response should explain that integrating ChatGPT into a university platform raises GPAI and deployer governance considerations, including transparency, data protection, accuracy, human oversight, and downstream risk assessment. High-risk obligations arise if the integration supports high-impact educational decisions.</t>
  </si>
  <si>
    <t>A correct response should explain that generative AI transparency obligations include informing users when they interact with AI, labeling certain AI-generated or manipulated content, disclosing deepfakes, and managing limitations, accuracy, and human review where outputs influence users.</t>
  </si>
  <si>
    <t>A correct response should explain that fine-tuning a foundation or GPAI model may create additional responsibilities if the student or university substantially modifies the model, places it into service, or deploys it in a high-risk context. Documentation, testing, transparency, and role assessment are needed.</t>
  </si>
  <si>
    <t>A correct response should explain that universities should assess GPAI risks including hallucinations, misinformation, bias, privacy, cybersecurity, copyright, data leakage, overreliance, profiling, transparency failures, and impacts on educational rights or opportunities.</t>
  </si>
  <si>
    <t>A correct response should explain that GPAI can generate plausible but false content, fabricated sources, biased or misleading explanations, and overconfident guidance. Controls include human verification, source checking, transparency, user education, and monitoring.</t>
  </si>
  <si>
    <t>A correct response should explain that GPAI documentation may include model capabilities and limitations, technical documentation, intended downstream use information, training-data summary, copyright compliance information, risk assessments, evaluation results, and monitoring or incident records where relevant.</t>
  </si>
  <si>
    <t>A correct response should explain that human oversight is important because foundation models can hallucinate, produce biased or unsafe outputs, and influence student decisions. Humans should verify outputs, make final decisions, provide escalation, and maintain accountability.</t>
  </si>
  <si>
    <t>A correct response should explain that a customer-support chatbot is generally limited-risk where users interact with AI, requiring disclosure unless obvious. It should also recommend privacy safeguards, output monitoring, human escalation, accuracy controls, and documentation proportionate to the risk.</t>
  </si>
  <si>
    <t>A correct response should explain that AI screening job applicants is high-risk under Annex III employment and worker-management provisions because it affects access to employment. It requires high-risk obligations including risk management, data governance, transparency, human oversight, bias controls, and documentation.</t>
  </si>
  <si>
    <t>A correct response should explain that AI employee productivity monitoring may be high-risk under worker-management provisions and raises privacy, proportionality, surveillance, discrimination, transparency, and psychological-impact concerns. Human oversight and worker information are essential.</t>
  </si>
  <si>
    <t>A correct response should explain that generative AI marketing content and product images may require disclosure where content is synthetic, manipulated, or could mislead consumers into believing it is authentic. Good practice includes human review, IP checks, accuracy, and avoidance of deceptive claims.</t>
  </si>
  <si>
    <t>A correct response should explain that healthcare appointment prioritization may be high-risk where it affects access to healthcare or triage decisions, and may also intersect with medical-device regulation depending on function. It requires risk management, data governance, reliability, transparency, human oversight, and fairness.</t>
  </si>
  <si>
    <t>A correct response should explain that internal ChatGPT use normally requires governance rather than high-risk compliance unless used for high-impact decisions. Measures should include staff AI literacy, confidentiality and privacy rules, human review, hallucination checks, documentation, acceptable-use policy, and accountability.</t>
  </si>
  <si>
    <t>A correct response should explain that predictive maintenance may be minimal or ordinary industrial support, but AI safety monitoring may become high-risk if it is a safety component or affects critical infrastructure or worker safety. Risk assessment, reliability testing, human oversight, documentation, and monitoring are appropriate.</t>
  </si>
  <si>
    <t>A correct response should explain that voice recordings raise data protection, transparency, consent or lawful-basis, security, retention, and fairness concerns. If voice data is used for biometric identification, emotion recognition, or profiling, higher EU AI Act and GDPR sensitivity applies.</t>
  </si>
  <si>
    <t>A correct response should explain that AI creditworthiness or loan-application evaluation is high-risk under Annex III because it affects access to essential financial services. It requires strong fairness, data governance, transparency, documentation, human oversight, explainability, monitoring, and appeal routes.</t>
  </si>
  <si>
    <t>A correct response should define an AI system as a machine-based system designed to operate with varying levels of autonomy and infer from inputs how to generate outputs such as predictions, content, recommendations, or decisions that may influence physical or virtual environments. It should also connect the definition to role and risk assessment.</t>
  </si>
  <si>
    <t>A correct response should explain that emotion recognition for customer satisfaction involves sensitive inference and transparency obligations, and may become high-risk if based on biometric data or used in consequential decision-making. It is prohibited only in specific contexts such as workplace or education except narrow exceptions, so context matters.</t>
  </si>
  <si>
    <t>EU AI Act — Article 14: Human Oversight; Chapter V GPAI Governance Requirements</t>
  </si>
  <si>
    <t>Human oversight is crucial in educational AI because foundation models can produce inaccurate, biased, or unfair outcomes. Oversight ensures fairness, accountability, and transparency in decisions impacting students. The guidance stresses reviewing outputs, avoiding full automation, and having clear accountability.</t>
  </si>
  <si>
    <t>The response is generally aligned with the EU AI Act but may lack SME-specific legal nuance or proportional compliance detail.</t>
  </si>
  <si>
    <t>The response is understandable for students, SMEs, and non-legal users.</t>
  </si>
  <si>
    <t>The response supports governance awareness but could provide more SME-specific operational safeguards or implementation guidance.</t>
  </si>
  <si>
    <t>The response contains some generalized compliance assumptions without sufficient SME-specific contextual grounding.</t>
  </si>
  <si>
    <t>Overall, the response is educationally useful but would benefit from more SME-specific implementation guidance. The response is generally correct but lacks legal precision regarding prohibited AI practices and distinctions between prohibited and high-risk systems.</t>
  </si>
  <si>
    <t>Overall, the response is educationally useful but would benefit from more SME-specific implementation guidance. The response aligns with the expected outcome and reflects the main legal and governance concepts from the EU AI Act source.</t>
  </si>
  <si>
    <t>Overall, the response is educationally useful but would benefit from more SME-specific implementation guidance. The response is mostly correct but incomplete. Additional legal nuance and clearer linkage to EU AI Act obligations would improve the answer.</t>
  </si>
  <si>
    <t xml:space="preserve">Identifies the key concerns but should distinguish biometric identification from verification. </t>
  </si>
  <si>
    <t xml:space="preserve">Correctly identifies high-risk implications and appropriate safeguards. </t>
  </si>
  <si>
    <t xml:space="preserve">Accurately describes role-based responsibility. </t>
  </si>
  <si>
    <t>The answer is misleading and could lead to using prohibited AI.</t>
  </si>
  <si>
    <t>The response is not fully aligned with EU AI Act.</t>
  </si>
  <si>
    <t xml:space="preserve"> Misleading. The response incorrectly treats the practice as high-risk with safeguards instead of clearly prohibited.</t>
  </si>
  <si>
    <t>The response contains misleading information.  . The response incorrectly treats the practice as high-risk with safeguards instead of clearly prohibited.</t>
  </si>
  <si>
    <t xml:space="preserve">Aligned with Article 50 and synthetic-media transparency. Could note the </t>
  </si>
  <si>
    <t xml:space="preserve">TESSA appropriately links generative marketing content with transparency and disclosure obligations under Article 50. </t>
  </si>
  <si>
    <t xml:space="preserve">Mostly aligned, but the summary uses broad phrasing such as mass surveillance and should tie each example more precisely to Article 5 conditions and exceptions. </t>
  </si>
  <si>
    <t xml:space="preserve">Correctly captures broad-purpose capability, but conflates GPAI models with AI systems and oversimplifies model-level obligations versus deployment-risk classification. </t>
  </si>
  <si>
    <t xml:space="preserve">Substantively sound but blends high-risk Article 13 duties with Article 50 disclosure duties without clearly separating when each applies. </t>
  </si>
  <si>
    <t xml:space="preserve">Overall, the response is usable for educational guidance, but it needs refinement to improve legal precision or governance specificity. </t>
  </si>
  <si>
    <t xml:space="preserve">Good classification and safeguards; the response properly emphasizes AI disclosure and human support. </t>
  </si>
  <si>
    <t xml:space="preserve">Accurately reflects Article 50 synthetic-content transparency expectations. </t>
  </si>
  <si>
    <t>High-risk obligations are not clearly stated.</t>
  </si>
  <si>
    <t>Des not clearly answer that education emotion recognition is prohibited, except for medical /safety reasons.</t>
  </si>
  <si>
    <t xml:space="preserve">Accurately identifies high-risk concerns and core safeguards. </t>
  </si>
  <si>
    <t>Des not clearly answer that education emotion recognition is prohibited, except for medical /safety reasons. Mentions "possible prohibited-use"  Prohibition overrules high-risk.</t>
  </si>
  <si>
    <t xml:space="preserve">Correctly flags the high-risk and prohibited-use dimensions. </t>
  </si>
  <si>
    <t xml:space="preserve">Some overgeneralisation, ambiguity, or unsupported assumption is present. </t>
  </si>
  <si>
    <t>The response is mostly aligned with the official source, but it is incomplete or ambiguous. The response is mostly correct but may understate that evaluation of learning outcomes is expressly high-ris.</t>
  </si>
  <si>
    <t>Ideally, the answer would explicitly explain that if the system is only (e.g.) intended to perform narrow or preparatory task, if may fall under exception (Article 5)</t>
  </si>
  <si>
    <t xml:space="preserve">The response is mostly aligned with the official source, but it is incomplete or ambiguous. </t>
  </si>
  <si>
    <r>
      <t>Chapter 2.1.2 — </t>
    </r>
    <r>
      <rPr>
        <i/>
        <sz val="12"/>
        <color rgb="FF000000"/>
        <rFont val="Times New Roman"/>
        <family val="1"/>
      </rPr>
      <t>Human Oversight and Risk Mitigation</t>
    </r>
    <r>
      <rPr>
        <sz val="14"/>
        <color rgb="FF000000"/>
        <rFont val="Times New Roman"/>
        <family val="1"/>
      </rPr>
      <t>; Chapter 3.1 — </t>
    </r>
    <r>
      <rPr>
        <i/>
        <sz val="12"/>
        <color rgb="FF000000"/>
        <rFont val="Times New Roman"/>
        <family val="1"/>
      </rPr>
      <t>Governance of Advanced AI Models</t>
    </r>
  </si>
  <si>
    <r>
      <t xml:space="preserve">EU AI Act — Article 4: AI Literacy, </t>
    </r>
    <r>
      <rPr>
        <sz val="12"/>
        <color rgb="FFFF0000"/>
        <rFont val="Times New Roman"/>
        <family val="1"/>
      </rPr>
      <t>Article 3 (56)</t>
    </r>
  </si>
  <si>
    <r>
      <t xml:space="preserve">Aligned with Article 4 and the guidance’s emphasis on responsible, risk-aware AI use. </t>
    </r>
    <r>
      <rPr>
        <sz val="12"/>
        <color rgb="FFFF0000"/>
        <rFont val="Times New Roman"/>
        <family val="1"/>
      </rPr>
      <t xml:space="preserve">Ideally, the answer would include elements of the AI Act definition for legal accuracy  ("skills, knowledge and understanding that allow one to make an informed deployment of AI systems and gain awareness about the opportunities and risks of AI"). </t>
    </r>
  </si>
  <si>
    <r>
      <t>Accurately explains role-based responsibility and the possibility of multiple roles.</t>
    </r>
    <r>
      <rPr>
        <sz val="12"/>
        <color rgb="FFFF0000"/>
        <rFont val="Times New Roman"/>
        <family val="1"/>
      </rPr>
      <t xml:space="preserve"> For legal accuracy, iddeally, the anwer would refer to AI Act definitions more clearly: that deployer is using an AI system 'under its authority' which often means that it is using it in practise. Ideally, the anwer would also explain that provider definition covers provider's of GPAIs as well (now only AI systems are mentioned).</t>
    </r>
  </si>
  <si>
    <r>
      <t>Correctly treats grade prediction as potentially high-risk and identifies the main safeguards</t>
    </r>
    <r>
      <rPr>
        <sz val="12"/>
        <color rgb="FFFF0000"/>
        <rFont val="Times New Roman"/>
        <family val="1"/>
      </rPr>
      <t xml:space="preserve">. Ideally, the answer would explain AI systems AI systems intended to be used to </t>
    </r>
    <r>
      <rPr>
        <b/>
        <sz val="12"/>
        <color rgb="FFFF0000"/>
        <rFont val="Times New Roman"/>
        <family val="1"/>
      </rPr>
      <t xml:space="preserve">evaluate </t>
    </r>
    <r>
      <rPr>
        <sz val="12"/>
        <color rgb="FFFF0000"/>
        <rFont val="Times New Roman"/>
        <family val="1"/>
      </rPr>
      <t>learning outcomes are high-risk. Predicting, if not used for evaluating learning outcomes, may fall out of scope. Overall correct as the answer includes "potentially".</t>
    </r>
  </si>
  <si>
    <r>
      <t xml:space="preserve">The response supports responsible AI governance by encouraging risk awareness, transparency, oversight, or compliance-oriented action proportionate to the scenario. </t>
    </r>
    <r>
      <rPr>
        <sz val="12"/>
        <color rgb="FFFF0000"/>
        <rFont val="Times New Roman"/>
        <family val="1"/>
      </rPr>
      <t>Concrete emphasis on human oversight.</t>
    </r>
  </si>
  <si>
    <r>
      <t xml:space="preserve">Good ethical guidance, but the cited legal hooks are incomplete and the possible Annex III education/proctoring classification  </t>
    </r>
    <r>
      <rPr>
        <sz val="12"/>
        <color rgb="FFFF0000"/>
        <rFont val="Times New Roman"/>
        <family val="1"/>
      </rPr>
      <t>(if the plagiarism is used for monitoring students or in some other way Annex III describes) should be clearer.</t>
    </r>
  </si>
  <si>
    <r>
      <t xml:space="preserve">The response is clear, accessible, and understandable for students, SMEs, or non-legal users. It explains the issue in practical language. </t>
    </r>
    <r>
      <rPr>
        <sz val="12"/>
        <color rgb="FFFF0000"/>
        <rFont val="Times New Roman"/>
        <family val="1"/>
      </rPr>
      <t xml:space="preserve">The answer  "guides" the user to consider using the system as support tool </t>
    </r>
  </si>
  <si>
    <r>
      <t xml:space="preserve">Correctly identifies sensitive risks, but does not clearly address possible medical or high-risk classification and relevant provider/deployer responsibilities. </t>
    </r>
    <r>
      <rPr>
        <sz val="12"/>
        <color rgb="FFFF0000"/>
        <rFont val="Times New Roman"/>
        <family val="1"/>
      </rPr>
      <t>Possible high-risk AI use should be more clearly stated. It should be noted that substantially modifying an AI system  could lead to the deployer becoming the provider.</t>
    </r>
  </si>
  <si>
    <r>
      <t>The response is clear, accessible, and understandable for students, SMEs, or non-legal users. It explains the issue in practical language.</t>
    </r>
    <r>
      <rPr>
        <sz val="12"/>
        <color rgb="FFFF0000"/>
        <rFont val="Times New Roman"/>
        <family val="1"/>
      </rPr>
      <t xml:space="preserve"> The ansewr is holistic and considers discrimination and ethics.</t>
    </r>
  </si>
  <si>
    <r>
      <t xml:space="preserve">The response is clear, accessible, and understandable for students, SMEs, or non-legal users. It explains the issue in practical language. </t>
    </r>
    <r>
      <rPr>
        <sz val="12"/>
        <color rgb="FFFF0000"/>
        <rFont val="Times New Roman"/>
        <family val="1"/>
      </rPr>
      <t>The answer is holistic and considers IPR and other "additional" angles as well.</t>
    </r>
  </si>
  <si>
    <r>
      <t xml:space="preserve">Captures the main high-risk and prohibited-use concerns, though direct emotion-recognition prohibition could be stated more firmly. The answer should clearly state </t>
    </r>
    <r>
      <rPr>
        <sz val="12"/>
        <color rgb="FFFF0000"/>
        <rFont val="Times New Roman"/>
        <family val="1"/>
      </rPr>
      <t xml:space="preserve"> monitoring students as high-risk  when used for monitoring and detecting prohibited behaviour of students during tests (Annex III</t>
    </r>
    <r>
      <rPr>
        <sz val="12"/>
        <color theme="1"/>
        <rFont val="Times New Roman"/>
        <family val="1"/>
      </rPr>
      <t>).</t>
    </r>
  </si>
  <si>
    <r>
      <t xml:space="preserve">The response is clear, accessible, and understandable for students, SMEs, or non-legal users. It explains the issue in practical language. </t>
    </r>
    <r>
      <rPr>
        <sz val="12"/>
        <color rgb="FFFF0000"/>
        <rFont val="Times New Roman"/>
        <family val="1"/>
      </rPr>
      <t>The answer is holistic and considers aspects beyond just AI Act text.</t>
    </r>
  </si>
  <si>
    <r>
      <t xml:space="preserve">Some overgeneralisation, ambiguity, or unsupported assumption is present. </t>
    </r>
    <r>
      <rPr>
        <sz val="12"/>
        <color rgb="FFFF0000"/>
        <rFont val="Times New Roman"/>
        <family val="1"/>
      </rPr>
      <t>The response lacks clear high-risk AI system note to the user, now the term is "highly sensitive".</t>
    </r>
  </si>
  <si>
    <r>
      <t>Overall, the response is usable for educational guidance, but it needs refinement to improve legal precision or governance specificity.</t>
    </r>
    <r>
      <rPr>
        <sz val="12"/>
        <color rgb="FFFF0000"/>
        <rFont val="Times New Roman"/>
        <family val="1"/>
      </rPr>
      <t xml:space="preserve"> Should include high-risk AI system (used for student monitoring)</t>
    </r>
  </si>
  <si>
    <r>
      <t xml:space="preserve">Correctly identifies limited-risk transparency classification. </t>
    </r>
    <r>
      <rPr>
        <sz val="12"/>
        <color rgb="FFFF0000"/>
        <rFont val="Times New Roman"/>
        <family val="1"/>
      </rPr>
      <t xml:space="preserve">Idelly, the anwer would include addition that the chatbot's use case defines the risk level. </t>
    </r>
  </si>
  <si>
    <r>
      <t xml:space="preserve">The response supports responsible AI governance by encouraging risk awareness, transparency, oversight, or compliance-oriented action proportionate to the scenario. </t>
    </r>
    <r>
      <rPr>
        <sz val="12"/>
        <color rgb="FFFF0000"/>
        <rFont val="Times New Roman"/>
        <family val="1"/>
      </rPr>
      <t>Holistic angle.</t>
    </r>
  </si>
  <si>
    <r>
      <t xml:space="preserve">Correctly warns against social scoring but should state the Article 5 conditions more precisely. </t>
    </r>
    <r>
      <rPr>
        <sz val="12"/>
        <color rgb="FFFF0000"/>
        <rFont val="Times New Roman"/>
        <family val="1"/>
      </rPr>
      <t xml:space="preserve">Should clearly state social scoring is prohibited under AI Act and such systems should not be put into market or service. </t>
    </r>
  </si>
  <si>
    <r>
      <t xml:space="preserve">The response is mostly aligned with the official source, but it is incomplete or ambiguous. Correctly warns against social scoring but should state the Article 5 conditions more precisely.. </t>
    </r>
    <r>
      <rPr>
        <sz val="12"/>
        <color rgb="FFFF0000"/>
        <rFont val="Times New Roman"/>
        <family val="1"/>
      </rPr>
      <t>Should clearly state social scoring is prohibited under AI Act and such systems should not be put into market or service</t>
    </r>
  </si>
  <si>
    <r>
      <t xml:space="preserve">Practical guidance is sound, but it should clarify that Article 11/12 are mandatory mainly for high-risk AI providers, not every student project. </t>
    </r>
    <r>
      <rPr>
        <sz val="12"/>
        <color rgb="FFFF0000"/>
        <rFont val="Times New Roman"/>
        <family val="1"/>
      </rPr>
      <t>High-risk documentation obligations should be separated from minimal-risk/limited risk obligations.</t>
    </r>
  </si>
  <si>
    <r>
      <t>Aligned with human oversight expectations and the guidance’s risk-mitigation approach.</t>
    </r>
    <r>
      <rPr>
        <sz val="12"/>
        <color rgb="FFFF0000"/>
        <rFont val="Times New Roman"/>
        <family val="1"/>
      </rPr>
      <t>Could more clearly state that if the AI system is high-risk, AI Act's human oversight measures apply (vs. other AI used in educational context, such as translation tools).</t>
    </r>
  </si>
  <si>
    <r>
      <t xml:space="preserve">The response is legally consistent with the expected EU AI Act interpretation for this compliance governance scenario. It does not show major contradiction with the official source. </t>
    </r>
    <r>
      <rPr>
        <sz val="12"/>
        <color rgb="FFFF0000"/>
        <rFont val="Times New Roman"/>
        <family val="1"/>
      </rPr>
      <t>Lacks specification on high-risk AI that triggers human-oversight as regulatory obligation (for lower risk AI it is voluntary, but recommendable).</t>
    </r>
  </si>
  <si>
    <r>
      <t xml:space="preserve">No significant unsupported or fabricated legal/compliance claims are detected in relation to the expected outcome. </t>
    </r>
    <r>
      <rPr>
        <sz val="12"/>
        <color rgb="FFFF0000"/>
        <rFont val="Times New Roman"/>
        <family val="1"/>
      </rPr>
      <t>Lacks specification on high-risk AI that triggers human-oversight as regulatory obligation (for lower risk AI it is voluntary, but recommendable).</t>
    </r>
  </si>
  <si>
    <r>
      <t xml:space="preserve">The response is mostly aligned with the official source, but it is incomplete or ambiguous. Good responsible-use advice, but it treats student disclosure too broadly as an AI Act obligation. </t>
    </r>
    <r>
      <rPr>
        <sz val="12"/>
        <color rgb="FFFF0000"/>
        <rFont val="Times New Roman"/>
        <family val="1"/>
      </rPr>
      <t>Does not include reference on the exception for AI text outputs (human review, editorial responsibility)</t>
    </r>
  </si>
  <si>
    <r>
      <t xml:space="preserve">The response is mostly aligned with the official source, but it is incomplete or ambiguous. </t>
    </r>
    <r>
      <rPr>
        <sz val="12"/>
        <color rgb="FFFF0000"/>
        <rFont val="Times New Roman"/>
        <family val="1"/>
      </rPr>
      <t>Should specify that human oversight and risk management are obligatory for high-risk AI under the EU AI Act (not all AI systems).</t>
    </r>
  </si>
  <si>
    <r>
      <t xml:space="preserve">The response is misleading because it frames the practice as sensitive or potentially high-risk rather than clearly prohibited. </t>
    </r>
    <r>
      <rPr>
        <sz val="12"/>
        <color rgb="FFFF0000"/>
        <rFont val="Times New Roman"/>
        <family val="1"/>
      </rPr>
      <t>The response is incorrect. A correct response should state clearly that emotion recognition systems in educational institutions are prohibited under Article 5, except where used for medical or safety reasons. Exam monitoring based on emotion inference should therefore be treated as legally unacceptable unless an exception applies.</t>
    </r>
  </si>
  <si>
    <r>
      <t xml:space="preserve">The response is generally aligned with the EU AI Act but may lack SME-specific legal nuance or proportional compliance detail. </t>
    </r>
    <r>
      <rPr>
        <sz val="12"/>
        <color rgb="FFFF0000"/>
        <rFont val="Times New Roman"/>
        <family val="1"/>
      </rPr>
      <t>Misleading.</t>
    </r>
  </si>
  <si>
    <r>
      <t xml:space="preserve">The response supports governance awareness but could provide more SME-specific operational safeguards or implementation guidance. </t>
    </r>
    <r>
      <rPr>
        <sz val="12"/>
        <color rgb="FFFF0000"/>
        <rFont val="Times New Roman"/>
        <family val="1"/>
      </rPr>
      <t>Misleading.</t>
    </r>
  </si>
  <si>
    <r>
      <t xml:space="preserve">The response contains some generalized compliance assumptions without sufficient SME-specific contextual grounding. </t>
    </r>
    <r>
      <rPr>
        <sz val="12"/>
        <color rgb="FFFF0000"/>
        <rFont val="Times New Roman"/>
        <family val="1"/>
      </rPr>
      <t>Misleading.</t>
    </r>
  </si>
  <si>
    <r>
      <t xml:space="preserve">Overall, the response is usable for educational guidance, but it </t>
    </r>
    <r>
      <rPr>
        <b/>
        <sz val="12"/>
        <color theme="1"/>
        <rFont val="Times New Roman"/>
        <family val="1"/>
      </rPr>
      <t xml:space="preserve">needs refinement </t>
    </r>
    <r>
      <rPr>
        <sz val="12"/>
        <color theme="1"/>
        <rFont val="Times New Roman"/>
        <family val="1"/>
      </rPr>
      <t>to improve legal precision or governance specificity. Correct direction, but it should state the prohibition conditions more clearly rather than only saying it raises concerns.</t>
    </r>
  </si>
  <si>
    <r>
      <t xml:space="preserve">Correctly identifies the vulnerability-exploitation prohibition. </t>
    </r>
    <r>
      <rPr>
        <sz val="12"/>
        <color rgb="FFFF0000"/>
        <rFont val="Times New Roman"/>
        <family val="1"/>
      </rPr>
      <t>Could state the prohiibition of such AI system's use more clearly.</t>
    </r>
  </si>
  <si>
    <r>
      <t xml:space="preserve">The response is legally consistent with the expected EU AI Act interpretation for this prohibited AI practices scenario. It does not show major contradiction with the official source. </t>
    </r>
    <r>
      <rPr>
        <sz val="12"/>
        <color rgb="FFFF0000"/>
        <rFont val="Times New Roman"/>
        <family val="1"/>
      </rPr>
      <t>Could state the prohiibition of such AI system's use more clearly.</t>
    </r>
  </si>
  <si>
    <r>
      <t xml:space="preserve">Some overgeneralisation, ambiguity, or unsupported assumption is present. </t>
    </r>
    <r>
      <rPr>
        <sz val="12"/>
        <color rgb="FFFF0000"/>
        <rFont val="Times New Roman"/>
        <family val="1"/>
      </rPr>
      <t>Correctly warns the user but should specify Article 5 obligations more clearly.</t>
    </r>
  </si>
  <si>
    <r>
      <t xml:space="preserve">Good governance advice, but it states transparency obligations too broadly for all classroom materials. </t>
    </r>
    <r>
      <rPr>
        <sz val="12"/>
        <color rgb="FFFF0000"/>
        <rFont val="Times New Roman"/>
        <family val="1"/>
      </rPr>
      <t>Ideally, the answer would acknowledfe that the obligation does not apply   where  the AI-generated content has undergone a process of human review or editorial control.</t>
    </r>
  </si>
  <si>
    <r>
      <t xml:space="preserve">Responsible advice, but the legal basis is overstated for ordinary student assignments. </t>
    </r>
    <r>
      <rPr>
        <sz val="12"/>
        <color rgb="FFFF0000"/>
        <rFont val="Times New Roman"/>
        <family val="1"/>
      </rPr>
      <t xml:space="preserve">The answer could specify that the EU AI Act does not require disclosure  where content has undergone a process of human review and the human holds editorial responsibility. Transparency under AI Act and transparency under academic or ethical rules are separate obligations. </t>
    </r>
  </si>
  <si>
    <r>
      <t xml:space="preserve">Some overgeneralisation, ambiguity, or unsupported assumption is present. Responsible advice, but the legal basis is overstated for ordinary student assignments. </t>
    </r>
    <r>
      <rPr>
        <sz val="12"/>
        <color rgb="FFFF0000"/>
        <rFont val="Times New Roman"/>
        <family val="1"/>
      </rPr>
      <t xml:space="preserve">The answer could specify that the EU AI Act does not require disclosure  where content has undergone a process of human review and the human holds editorial responsibility. </t>
    </r>
  </si>
  <si>
    <r>
      <t xml:space="preserve">Accurately emphasizes human advisor responsibility and accountability. </t>
    </r>
    <r>
      <rPr>
        <sz val="12"/>
        <color rgb="FFFF0000"/>
        <rFont val="Times New Roman"/>
        <family val="1"/>
      </rPr>
      <t>Ideally, the answer would separate AI Act transparency obligations (exeption of human content is reviewed by human that holds editorial responsibility) from ethical/academic transparency requirements for AI use.</t>
    </r>
  </si>
  <si>
    <r>
      <t xml:space="preserve">Overall, the response is usable for educational guidance, but it needs refinement to improve legal precision or governance specificity. </t>
    </r>
    <r>
      <rPr>
        <sz val="12"/>
        <color rgb="FFFF0000"/>
        <rFont val="Times New Roman"/>
        <family val="1"/>
      </rPr>
      <t>Responsible advice, but does not consider human review's effect on AI Act disclosure obligations or sepate academic/ethical disclosure requirements from regulatory ones.</t>
    </r>
  </si>
  <si>
    <r>
      <t xml:space="preserve">The response is mostly correct but may understate that evaluation of learning outcomes is expressly high-risk when material. </t>
    </r>
    <r>
      <rPr>
        <sz val="12"/>
        <color rgb="FFFF0000"/>
        <rFont val="Times New Roman"/>
        <family val="1"/>
      </rPr>
      <t>Ideally, the answer would explain that there is an exception  for high-risk AI obligations (e.g. preparatory task).</t>
    </r>
  </si>
  <si>
    <r>
      <t xml:space="preserve">Overall, the response is usable for educational guidance, but it needs refinement to improve legal precision or governance specificity. </t>
    </r>
    <r>
      <rPr>
        <sz val="12"/>
        <color rgb="FFFF0000"/>
        <rFont val="Times New Roman"/>
        <family val="1"/>
      </rPr>
      <t>Correctly identifies high-risk but should consider exeptions as well as it si support tool.</t>
    </r>
  </si>
  <si>
    <r>
      <t xml:space="preserve">Accurately summarizes core high-risk obligations. </t>
    </r>
    <r>
      <rPr>
        <sz val="12"/>
        <color rgb="FFFF0000"/>
        <rFont val="Times New Roman"/>
        <family val="1"/>
      </rPr>
      <t>Technical documentation should be mentioned as well.</t>
    </r>
  </si>
  <si>
    <r>
      <t xml:space="preserve">The response is legally consistent with the expected EU AI Act interpretation for this high-risk AI scenario. It does not show major contradiction with the official source. </t>
    </r>
    <r>
      <rPr>
        <sz val="12"/>
        <color rgb="FFFF0000"/>
        <rFont val="Times New Roman"/>
        <family val="1"/>
      </rPr>
      <t>Technical documentation should be mentioned.</t>
    </r>
  </si>
  <si>
    <r>
      <t>TESSA correctly identifies chatbot transparency obligations and proportionate governance expectations for SMEs.</t>
    </r>
    <r>
      <rPr>
        <sz val="12"/>
        <color rgb="FFFF0000"/>
        <rFont val="Times New Roman"/>
        <family val="1"/>
      </rPr>
      <t xml:space="preserve"> Ideally, the answer would separate AI Act responsibilities (transparency) from generic compliance (GDPR, human escalation).</t>
    </r>
  </si>
  <si>
    <r>
      <t xml:space="preserve">TESSA correctly emphasizes ethical and compliance risks related to worker monitoring and aligns with governance expectations under Articles 10 and 14. Ideally, </t>
    </r>
    <r>
      <rPr>
        <sz val="12"/>
        <color rgb="FFFF0000"/>
        <rFont val="Times New Roman"/>
        <family val="1"/>
      </rPr>
      <t>The answer should mention that AI use is potentially high risk as employees are monitored (and especially if monitoring could lead to terminating employment).</t>
    </r>
  </si>
  <si>
    <r>
      <t>The response is generally aligned with the EU AI Act</t>
    </r>
    <r>
      <rPr>
        <sz val="12"/>
        <color rgb="FFFF0000"/>
        <rFont val="Times New Roman"/>
        <family val="1"/>
      </rPr>
      <t xml:space="preserve"> but lack clear high-risk alert.</t>
    </r>
  </si>
  <si>
    <r>
      <t xml:space="preserve">TESSA accurately identifies major compliance risks and appropriately highlights biometric and profiling concerns. </t>
    </r>
    <r>
      <rPr>
        <sz val="12"/>
        <color rgb="FFFF0000"/>
        <rFont val="Times New Roman"/>
        <family val="1"/>
      </rPr>
      <t>The reply considers frameworks above and beyond AI Act which is positive.</t>
    </r>
  </si>
  <si>
    <r>
      <t>TESSA appropriately captures the heightened sensitivity and potential prohibition/high-risk implications of emotion-recognition AI systems.</t>
    </r>
    <r>
      <rPr>
        <sz val="12"/>
        <color rgb="FFFF0000"/>
        <rFont val="Times New Roman"/>
        <family val="1"/>
      </rPr>
      <t xml:space="preserve"> The answer should clearly state that AI systems intended for emotion recognition  and using biometric data are high-risk under Annex III.</t>
    </r>
  </si>
  <si>
    <t>%</t>
  </si>
  <si>
    <t>Step 2 Governance Alignment Evaluation</t>
  </si>
  <si>
    <t>Step 3 AI Regulation Lawyer and Researcher Review (Five-Part Framework)</t>
  </si>
  <si>
    <t xml:space="preserve"> Governance Alignment Evaluation criteria</t>
  </si>
  <si>
    <t>AI Regulation Lawyer and Researcher Review (Five-Part Framework)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</si>
</sst>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theme="1"/>
      <name val="Aptos Narrow"/>
    </font>
    <font>
      <b/>
      <sz val="12"/>
      <color rgb="FFFFFFFF"/>
      <name val="Aptos Narrow"/>
    </font>
    <font>
      <b/>
      <sz val="12"/>
      <color rgb="FFFFFFFF"/>
      <name val="Aptos Narrow"/>
    </font>
    <font>
      <u/>
      <sz val="12"/>
      <color theme="10"/>
      <name val="Aptos Narrow"/>
    </font>
    <font>
      <b/>
      <sz val="12"/>
      <color rgb="FF000000"/>
      <name val="Times New Roman"/>
      <family val="1"/>
    </font>
    <font>
      <b/>
      <sz val="12"/>
      <color rgb="FFFFFFFF"/>
      <name val="Times New Roman"/>
      <family val="1"/>
    </font>
    <font>
      <b/>
      <sz val="12"/>
      <name val="Times New Roman"/>
      <family val="1"/>
    </font>
    <font>
      <sz val="14"/>
      <color rgb="FF000000"/>
      <name val="Times New Roman"/>
      <family val="1"/>
    </font>
    <font>
      <sz val="12"/>
      <color rgb="FF000000"/>
      <name val="Times New Roman"/>
      <family val="1"/>
    </font>
    <font>
      <sz val="12"/>
      <color theme="1"/>
      <name val="Times New Roman"/>
      <family val="1"/>
    </font>
    <font>
      <i/>
      <sz val="12"/>
      <color rgb="FF000000"/>
      <name val="Times New Roman"/>
      <family val="1"/>
    </font>
    <font>
      <sz val="12"/>
      <color rgb="FFFF0000"/>
      <name val="Times New Roman"/>
      <family val="1"/>
    </font>
    <font>
      <b/>
      <sz val="12"/>
      <color rgb="FFFF0000"/>
      <name val="Times New Roman"/>
      <family val="1"/>
    </font>
    <font>
      <b/>
      <sz val="12"/>
      <color theme="1"/>
      <name val="Times New Roman"/>
      <family val="1"/>
    </font>
    <font>
      <sz val="12"/>
      <color rgb="FF000000"/>
      <name val="Aptos Narrow"/>
    </font>
  </fonts>
  <fills count="9">
    <fill>
      <patternFill patternType="none"/>
    </fill>
    <fill>
      <patternFill patternType="gray125"/>
    </fill>
    <fill>
      <patternFill patternType="solid">
        <fgColor rgb="FF1F4E78"/>
      </patternFill>
    </fill>
    <fill>
      <patternFill patternType="solid">
        <fgColor rgb="FFB4C6E7"/>
      </patternFill>
    </fill>
    <fill>
      <patternFill patternType="solid">
        <fgColor rgb="FF1F4E78"/>
      </patternFill>
    </fill>
    <fill>
      <patternFill patternType="solid">
        <fgColor rgb="FFD9EAF7"/>
      </patternFill>
    </fill>
    <fill>
      <patternFill patternType="solid">
        <fgColor rgb="FFC6EFCE"/>
      </patternFill>
    </fill>
    <fill>
      <patternFill patternType="solid">
        <fgColor rgb="FFFCE4D6"/>
      </patternFill>
    </fill>
    <fill>
      <patternFill patternType="solid">
        <fgColor rgb="FFFFC7CE"/>
      </patternFill>
    </fill>
  </fills>
  <borders count="6">
    <border>
      <left/>
      <right/>
      <top/>
      <bottom/>
      <diagonal/>
    </border>
    <border>
      <left/>
      <right/>
      <top/>
      <bottom style="thin">
        <color indexed="64"/>
      </bottom>
      <diagonal/>
    </border>
    <border>
      <left/>
      <right style="thin">
        <color indexed="64"/>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0" fillId="0" borderId="1" xfId="0" applyBorder="1"/>
    <xf numFmtId="0" fontId="0" fillId="0" borderId="2" xfId="0" applyBorder="1"/>
    <xf numFmtId="0" fontId="1" fillId="2" borderId="0" xfId="0" applyFont="1" applyFill="1" applyAlignment="1">
      <alignment horizontal="center"/>
    </xf>
    <xf numFmtId="164" fontId="0" fillId="0" borderId="0" xfId="0" applyNumberFormat="1"/>
    <xf numFmtId="0" fontId="2" fillId="4" borderId="3" xfId="0" applyFont="1" applyFill="1" applyBorder="1" applyAlignment="1">
      <alignment horizontal="center" vertical="center" wrapText="1"/>
    </xf>
    <xf numFmtId="0" fontId="0" fillId="0" borderId="3" xfId="0" applyBorder="1" applyAlignment="1">
      <alignment vertical="top" wrapText="1"/>
    </xf>
    <xf numFmtId="0" fontId="2" fillId="4" borderId="3" xfId="0" applyFont="1" applyFill="1" applyBorder="1" applyAlignment="1">
      <alignment vertical="top" wrapText="1"/>
    </xf>
    <xf numFmtId="0" fontId="0" fillId="6" borderId="3" xfId="0" applyFill="1" applyBorder="1" applyAlignment="1">
      <alignment vertical="top" wrapText="1"/>
    </xf>
    <xf numFmtId="0" fontId="0" fillId="7" borderId="3" xfId="0" applyFill="1" applyBorder="1" applyAlignment="1">
      <alignment vertical="top" wrapText="1"/>
    </xf>
    <xf numFmtId="0" fontId="0" fillId="8" borderId="3" xfId="0" applyFill="1" applyBorder="1" applyAlignment="1">
      <alignment vertical="top" wrapText="1"/>
    </xf>
    <xf numFmtId="0" fontId="0" fillId="0" borderId="3" xfId="0" applyBorder="1" applyAlignment="1">
      <alignment horizontal="center" vertical="center" wrapText="1"/>
    </xf>
    <xf numFmtId="0" fontId="3" fillId="0" borderId="0" xfId="1"/>
    <xf numFmtId="0" fontId="0" fillId="0" borderId="0" xfId="0" applyAlignment="1">
      <alignment vertical="top"/>
    </xf>
    <xf numFmtId="0" fontId="0" fillId="0" borderId="1" xfId="0" applyBorder="1" applyAlignment="1">
      <alignment vertical="top"/>
    </xf>
    <xf numFmtId="0" fontId="0" fillId="0" borderId="2" xfId="0" applyBorder="1" applyAlignment="1">
      <alignment vertical="top"/>
    </xf>
    <xf numFmtId="0" fontId="4" fillId="3" borderId="0" xfId="0" applyFont="1" applyFill="1" applyAlignment="1">
      <alignment horizontal="center" vertical="center" wrapText="1"/>
    </xf>
    <xf numFmtId="0" fontId="6" fillId="5"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7" fillId="0" borderId="3" xfId="0" applyFont="1" applyBorder="1" applyAlignment="1">
      <alignment vertical="top" wrapText="1"/>
    </xf>
    <xf numFmtId="0" fontId="8" fillId="0" borderId="3" xfId="0" applyFont="1" applyBorder="1" applyAlignment="1">
      <alignment vertical="top" wrapText="1"/>
    </xf>
    <xf numFmtId="0" fontId="8" fillId="0" borderId="0" xfId="0" applyFont="1" applyAlignment="1">
      <alignment wrapText="1"/>
    </xf>
    <xf numFmtId="0" fontId="9" fillId="0" borderId="3" xfId="0" applyFont="1" applyBorder="1" applyAlignment="1">
      <alignment vertical="top" wrapText="1"/>
    </xf>
    <xf numFmtId="0" fontId="7" fillId="0" borderId="5" xfId="0" applyFont="1" applyBorder="1" applyAlignment="1">
      <alignment vertical="top" wrapText="1"/>
    </xf>
    <xf numFmtId="0" fontId="8" fillId="0" borderId="5"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8" fillId="0" borderId="0" xfId="0" applyFont="1" applyAlignment="1">
      <alignment vertical="top" wrapText="1"/>
    </xf>
    <xf numFmtId="0" fontId="9" fillId="0" borderId="4" xfId="0" applyFont="1" applyBorder="1" applyAlignment="1">
      <alignment vertical="top" wrapText="1"/>
    </xf>
    <xf numFmtId="0" fontId="8" fillId="0" borderId="4" xfId="0" applyFont="1" applyBorder="1" applyAlignment="1">
      <alignment vertical="top" wrapText="1"/>
    </xf>
    <xf numFmtId="0" fontId="7" fillId="0" borderId="0" xfId="0" applyFont="1" applyAlignment="1">
      <alignment wrapText="1"/>
    </xf>
    <xf numFmtId="0" fontId="7" fillId="0" borderId="4" xfId="0" applyFont="1" applyBorder="1" applyAlignment="1">
      <alignment vertical="top" wrapText="1"/>
    </xf>
    <xf numFmtId="0" fontId="2" fillId="0" borderId="3" xfId="0" applyFont="1" applyBorder="1" applyAlignment="1">
      <alignment horizontal="center" vertical="center" wrapText="1"/>
    </xf>
    <xf numFmtId="0" fontId="1" fillId="0" borderId="3" xfId="0" applyFont="1" applyBorder="1" applyAlignment="1">
      <alignment horizontal="center" vertical="center" wrapText="1"/>
    </xf>
    <xf numFmtId="0" fontId="3" fillId="0" borderId="0" xfId="1" applyFill="1"/>
    <xf numFmtId="0" fontId="4" fillId="3" borderId="0" xfId="0" applyFont="1" applyFill="1" applyAlignment="1">
      <alignment horizontal="center" vertical="top" wrapText="1"/>
    </xf>
    <xf numFmtId="0" fontId="6" fillId="5" borderId="3" xfId="0" applyFont="1" applyFill="1" applyBorder="1" applyAlignment="1">
      <alignment horizontal="center" vertical="top" wrapText="1"/>
    </xf>
    <xf numFmtId="0" fontId="5" fillId="4" borderId="3" xfId="0" applyFont="1" applyFill="1" applyBorder="1" applyAlignment="1">
      <alignment horizontal="center" vertical="top" wrapText="1"/>
    </xf>
    <xf numFmtId="0" fontId="11" fillId="0" borderId="3" xfId="0" applyFont="1" applyBorder="1" applyAlignment="1">
      <alignment vertical="top" wrapText="1"/>
    </xf>
    <xf numFmtId="0" fontId="11" fillId="0" borderId="0" xfId="0" applyFont="1" applyAlignment="1">
      <alignment vertical="top" wrapText="1"/>
    </xf>
    <xf numFmtId="0" fontId="7" fillId="0" borderId="0" xfId="0" applyFont="1" applyAlignment="1">
      <alignment vertical="top" wrapText="1"/>
    </xf>
    <xf numFmtId="0" fontId="5" fillId="4" borderId="0" xfId="0" applyFont="1" applyFill="1" applyAlignment="1">
      <alignment horizontal="center" vertical="center" wrapText="1"/>
    </xf>
    <xf numFmtId="0" fontId="5" fillId="4" borderId="0" xfId="0" applyFont="1" applyFill="1" applyAlignment="1">
      <alignment horizontal="center" vertical="top" wrapText="1"/>
    </xf>
    <xf numFmtId="0" fontId="14" fillId="0" borderId="0" xfId="0" applyFont="1"/>
    <xf numFmtId="0" fontId="0" fillId="0" borderId="0" xfId="0" applyBorder="1"/>
    <xf numFmtId="0" fontId="1" fillId="0" borderId="0" xfId="0" applyFont="1" applyFill="1" applyAlignment="1">
      <alignment horizontal="center"/>
    </xf>
    <xf numFmtId="0" fontId="0" fillId="0" borderId="0" xfId="0" applyFill="1"/>
  </cellXfs>
  <cellStyles count="2">
    <cellStyle name="Hyperlink" xfId="1" builtinId="8"/>
    <cellStyle name="Normal" xfId="0" builtinId="0"/>
  </cellStyles>
  <dxfs count="36">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fgColor rgb="FFFFC7CE"/>
        </patternFill>
      </fill>
    </dxf>
    <dxf>
      <font>
        <color rgb="FF9C5700"/>
      </font>
      <fill>
        <patternFill patternType="solid">
          <fgColor rgb="FFFCE4D6"/>
        </patternFill>
      </fill>
    </dxf>
    <dxf>
      <font>
        <color rgb="FF006100"/>
      </font>
      <fill>
        <patternFill patternType="solid">
          <f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2"/>
  <sheetViews>
    <sheetView topLeftCell="J1" workbookViewId="0">
      <pane ySplit="2" topLeftCell="A3" activePane="bottomLeft" state="frozen"/>
      <selection pane="bottomLeft" activeCell="S4" sqref="S4"/>
    </sheetView>
  </sheetViews>
  <sheetFormatPr baseColWidth="10" defaultRowHeight="16" x14ac:dyDescent="0.2"/>
  <cols>
    <col min="1" max="1" width="18" customWidth="1"/>
    <col min="2" max="2" width="32" customWidth="1"/>
    <col min="3" max="3" width="34" customWidth="1"/>
    <col min="4" max="4" width="12" customWidth="1"/>
    <col min="5" max="5" width="42" customWidth="1"/>
    <col min="6" max="6" width="40.1640625" customWidth="1"/>
    <col min="7" max="7" width="36" customWidth="1"/>
    <col min="8" max="8" width="55" style="2" customWidth="1"/>
    <col min="9" max="9" width="8" customWidth="1"/>
    <col min="10" max="10" width="55" customWidth="1"/>
    <col min="11" max="11" width="14" customWidth="1"/>
    <col min="12" max="12" width="44" customWidth="1"/>
    <col min="13" max="13" width="18" customWidth="1"/>
    <col min="14" max="14" width="48" customWidth="1"/>
    <col min="15" max="15" width="20" customWidth="1"/>
    <col min="16" max="16" width="48" customWidth="1"/>
    <col min="17" max="17" width="22" customWidth="1"/>
    <col min="18" max="18" width="48" customWidth="1"/>
    <col min="19" max="19" width="20" customWidth="1"/>
    <col min="20" max="20" width="48" customWidth="1"/>
    <col min="21" max="21" width="20" customWidth="1"/>
    <col min="22" max="22" width="55" customWidth="1"/>
  </cols>
  <sheetData>
    <row r="1" spans="1:22" ht="28" customHeight="1" x14ac:dyDescent="0.2">
      <c r="A1" s="16" t="s">
        <v>0</v>
      </c>
      <c r="B1" s="16"/>
      <c r="C1" s="16"/>
      <c r="D1" s="16"/>
      <c r="E1" s="16"/>
      <c r="F1" s="16"/>
      <c r="G1" s="16"/>
      <c r="H1" s="16"/>
      <c r="I1" s="16"/>
      <c r="J1" s="16" t="s">
        <v>966</v>
      </c>
      <c r="K1" s="16"/>
      <c r="L1" s="16"/>
      <c r="M1" s="41" t="s">
        <v>967</v>
      </c>
      <c r="N1" s="41"/>
      <c r="O1" s="41"/>
      <c r="P1" s="41"/>
      <c r="Q1" s="41"/>
      <c r="R1" s="41"/>
      <c r="S1" s="41"/>
      <c r="T1" s="41"/>
      <c r="U1" s="41"/>
      <c r="V1" s="41"/>
    </row>
    <row r="2" spans="1:22" ht="28" customHeight="1" x14ac:dyDescent="0.2">
      <c r="A2" s="17" t="s">
        <v>4</v>
      </c>
      <c r="B2" s="17" t="s">
        <v>5</v>
      </c>
      <c r="C2" s="17" t="s">
        <v>6</v>
      </c>
      <c r="D2" s="17" t="s">
        <v>7</v>
      </c>
      <c r="E2" s="17" t="s">
        <v>8</v>
      </c>
      <c r="F2" s="17" t="s">
        <v>9</v>
      </c>
      <c r="G2" s="17" t="s">
        <v>10</v>
      </c>
      <c r="H2" s="17" t="s">
        <v>11</v>
      </c>
      <c r="I2" s="17"/>
      <c r="J2" s="17" t="s">
        <v>12</v>
      </c>
      <c r="K2" s="17" t="s">
        <v>13</v>
      </c>
      <c r="L2" s="17" t="s">
        <v>14</v>
      </c>
      <c r="M2" s="18" t="s">
        <v>15</v>
      </c>
      <c r="N2" s="18" t="s">
        <v>16</v>
      </c>
      <c r="O2" s="18" t="s">
        <v>17</v>
      </c>
      <c r="P2" s="18" t="s">
        <v>18</v>
      </c>
      <c r="Q2" s="18" t="s">
        <v>19</v>
      </c>
      <c r="R2" s="18" t="s">
        <v>20</v>
      </c>
      <c r="S2" s="18" t="s">
        <v>21</v>
      </c>
      <c r="T2" s="18" t="s">
        <v>22</v>
      </c>
      <c r="U2" s="18" t="s">
        <v>23</v>
      </c>
      <c r="V2" s="18" t="s">
        <v>24</v>
      </c>
    </row>
    <row r="3" spans="1:22" ht="64" customHeight="1" x14ac:dyDescent="0.2">
      <c r="A3" s="19" t="s">
        <v>25</v>
      </c>
      <c r="B3" s="19" t="s">
        <v>26</v>
      </c>
      <c r="C3" s="19" t="s">
        <v>27</v>
      </c>
      <c r="D3" s="20" t="s">
        <v>28</v>
      </c>
      <c r="E3" s="20" t="s">
        <v>29</v>
      </c>
      <c r="F3" s="20" t="s">
        <v>30</v>
      </c>
      <c r="G3" s="20" t="s">
        <v>31</v>
      </c>
      <c r="H3" s="20" t="s">
        <v>32</v>
      </c>
      <c r="I3" s="20"/>
      <c r="J3" s="21" t="s">
        <v>883</v>
      </c>
      <c r="K3" s="20" t="s">
        <v>33</v>
      </c>
      <c r="L3" s="22" t="s">
        <v>34</v>
      </c>
      <c r="M3" s="22" t="s">
        <v>35</v>
      </c>
      <c r="N3" s="22" t="s">
        <v>36</v>
      </c>
      <c r="O3" s="22" t="s">
        <v>35</v>
      </c>
      <c r="P3" s="22" t="s">
        <v>37</v>
      </c>
      <c r="Q3" s="22" t="s">
        <v>35</v>
      </c>
      <c r="R3" s="22" t="s">
        <v>38</v>
      </c>
      <c r="S3" s="22" t="s">
        <v>39</v>
      </c>
      <c r="T3" s="22" t="s">
        <v>40</v>
      </c>
      <c r="U3" s="22" t="s">
        <v>35</v>
      </c>
      <c r="V3" s="22" t="s">
        <v>41</v>
      </c>
    </row>
    <row r="4" spans="1:22" ht="66" customHeight="1" x14ac:dyDescent="0.2">
      <c r="A4" s="22"/>
      <c r="B4" s="22"/>
      <c r="C4" s="22"/>
      <c r="D4" s="20" t="s">
        <v>42</v>
      </c>
      <c r="E4" s="20" t="s">
        <v>43</v>
      </c>
      <c r="F4" s="20" t="s">
        <v>44</v>
      </c>
      <c r="G4" s="20" t="s">
        <v>45</v>
      </c>
      <c r="H4" s="20" t="s">
        <v>46</v>
      </c>
      <c r="I4" s="20"/>
      <c r="J4" s="21" t="s">
        <v>785</v>
      </c>
      <c r="K4" s="20" t="s">
        <v>33</v>
      </c>
      <c r="L4" s="22" t="s">
        <v>47</v>
      </c>
      <c r="M4" s="22" t="s">
        <v>35</v>
      </c>
      <c r="N4" s="22" t="s">
        <v>36</v>
      </c>
      <c r="O4" s="22" t="s">
        <v>35</v>
      </c>
      <c r="P4" s="22" t="s">
        <v>37</v>
      </c>
      <c r="Q4" s="22" t="s">
        <v>35</v>
      </c>
      <c r="R4" s="22" t="s">
        <v>38</v>
      </c>
      <c r="S4" s="22" t="s">
        <v>39</v>
      </c>
      <c r="T4" s="22" t="s">
        <v>40</v>
      </c>
      <c r="U4" s="22" t="s">
        <v>35</v>
      </c>
      <c r="V4" s="22" t="s">
        <v>41</v>
      </c>
    </row>
    <row r="5" spans="1:22" ht="66" customHeight="1" x14ac:dyDescent="0.2">
      <c r="A5" s="22"/>
      <c r="B5" s="22"/>
      <c r="C5" s="22"/>
      <c r="D5" s="20" t="s">
        <v>48</v>
      </c>
      <c r="E5" s="20" t="s">
        <v>49</v>
      </c>
      <c r="F5" s="20" t="s">
        <v>50</v>
      </c>
      <c r="G5" s="20" t="s">
        <v>51</v>
      </c>
      <c r="H5" s="20" t="s">
        <v>52</v>
      </c>
      <c r="I5" s="20"/>
      <c r="J5" s="21" t="s">
        <v>786</v>
      </c>
      <c r="K5" s="20" t="s">
        <v>33</v>
      </c>
      <c r="L5" s="22" t="s">
        <v>54</v>
      </c>
      <c r="M5" s="22" t="s">
        <v>35</v>
      </c>
      <c r="N5" s="22" t="s">
        <v>56</v>
      </c>
      <c r="O5" s="22" t="s">
        <v>35</v>
      </c>
      <c r="P5" s="22" t="s">
        <v>37</v>
      </c>
      <c r="Q5" s="22" t="s">
        <v>35</v>
      </c>
      <c r="R5" s="22" t="s">
        <v>38</v>
      </c>
      <c r="S5" s="22" t="s">
        <v>39</v>
      </c>
      <c r="T5" s="22" t="s">
        <v>58</v>
      </c>
      <c r="U5" s="22" t="s">
        <v>35</v>
      </c>
      <c r="V5" s="22" t="s">
        <v>59</v>
      </c>
    </row>
    <row r="6" spans="1:22" ht="66" customHeight="1" x14ac:dyDescent="0.2">
      <c r="A6" s="22"/>
      <c r="B6" s="22"/>
      <c r="C6" s="22"/>
      <c r="D6" s="20" t="s">
        <v>60</v>
      </c>
      <c r="E6" s="20" t="s">
        <v>61</v>
      </c>
      <c r="F6" s="20" t="s">
        <v>62</v>
      </c>
      <c r="G6" s="20" t="s">
        <v>63</v>
      </c>
      <c r="H6" s="20" t="s">
        <v>64</v>
      </c>
      <c r="I6" s="20"/>
      <c r="J6" s="21" t="s">
        <v>787</v>
      </c>
      <c r="K6" s="20" t="s">
        <v>53</v>
      </c>
      <c r="L6" s="22" t="s">
        <v>65</v>
      </c>
      <c r="M6" s="22" t="s">
        <v>55</v>
      </c>
      <c r="N6" s="22" t="s">
        <v>66</v>
      </c>
      <c r="O6" s="22" t="s">
        <v>35</v>
      </c>
      <c r="P6" s="22" t="s">
        <v>37</v>
      </c>
      <c r="Q6" s="22" t="s">
        <v>55</v>
      </c>
      <c r="R6" s="22" t="s">
        <v>67</v>
      </c>
      <c r="S6" s="22" t="s">
        <v>57</v>
      </c>
      <c r="T6" s="22" t="s">
        <v>68</v>
      </c>
      <c r="U6" s="22" t="s">
        <v>55</v>
      </c>
      <c r="V6" s="22" t="s">
        <v>69</v>
      </c>
    </row>
    <row r="7" spans="1:22" ht="66" customHeight="1" x14ac:dyDescent="0.2">
      <c r="A7" s="22"/>
      <c r="B7" s="22"/>
      <c r="C7" s="22"/>
      <c r="D7" s="20" t="s">
        <v>70</v>
      </c>
      <c r="E7" s="20" t="s">
        <v>71</v>
      </c>
      <c r="F7" s="20" t="s">
        <v>72</v>
      </c>
      <c r="G7" s="20" t="s">
        <v>73</v>
      </c>
      <c r="H7" s="20" t="s">
        <v>74</v>
      </c>
      <c r="I7" s="20"/>
      <c r="J7" s="21" t="s">
        <v>788</v>
      </c>
      <c r="K7" s="20" t="s">
        <v>33</v>
      </c>
      <c r="L7" s="22" t="s">
        <v>75</v>
      </c>
      <c r="M7" s="22" t="s">
        <v>55</v>
      </c>
      <c r="N7" s="22" t="s">
        <v>76</v>
      </c>
      <c r="O7" s="22" t="s">
        <v>35</v>
      </c>
      <c r="P7" s="22" t="s">
        <v>37</v>
      </c>
      <c r="Q7" s="22" t="s">
        <v>35</v>
      </c>
      <c r="R7" s="22" t="s">
        <v>38</v>
      </c>
      <c r="S7" s="22" t="s">
        <v>57</v>
      </c>
      <c r="T7" s="22" t="s">
        <v>77</v>
      </c>
      <c r="U7" s="22" t="s">
        <v>55</v>
      </c>
      <c r="V7" s="22" t="s">
        <v>78</v>
      </c>
    </row>
    <row r="8" spans="1:22" ht="66" customHeight="1" x14ac:dyDescent="0.2">
      <c r="A8" s="22"/>
      <c r="B8" s="22"/>
      <c r="C8" s="22"/>
      <c r="D8" s="20" t="s">
        <v>79</v>
      </c>
      <c r="E8" s="20" t="s">
        <v>80</v>
      </c>
      <c r="F8" s="20" t="s">
        <v>81</v>
      </c>
      <c r="G8" s="20" t="s">
        <v>82</v>
      </c>
      <c r="H8" s="20" t="s">
        <v>83</v>
      </c>
      <c r="I8" s="20"/>
      <c r="J8" s="21" t="s">
        <v>789</v>
      </c>
      <c r="K8" s="20" t="s">
        <v>33</v>
      </c>
      <c r="L8" s="22" t="s">
        <v>84</v>
      </c>
      <c r="M8" s="22" t="s">
        <v>35</v>
      </c>
      <c r="N8" s="22" t="s">
        <v>36</v>
      </c>
      <c r="O8" s="22" t="s">
        <v>35</v>
      </c>
      <c r="P8" s="22" t="s">
        <v>37</v>
      </c>
      <c r="Q8" s="22" t="s">
        <v>35</v>
      </c>
      <c r="R8" s="22" t="s">
        <v>38</v>
      </c>
      <c r="S8" s="22" t="s">
        <v>39</v>
      </c>
      <c r="T8" s="22" t="s">
        <v>40</v>
      </c>
      <c r="U8" s="22" t="s">
        <v>35</v>
      </c>
      <c r="V8" s="22" t="s">
        <v>41</v>
      </c>
    </row>
    <row r="9" spans="1:22" ht="66" customHeight="1" x14ac:dyDescent="0.2">
      <c r="A9" s="22"/>
      <c r="B9" s="22"/>
      <c r="C9" s="22"/>
      <c r="D9" s="20" t="s">
        <v>85</v>
      </c>
      <c r="E9" s="20" t="s">
        <v>86</v>
      </c>
      <c r="F9" s="20" t="s">
        <v>87</v>
      </c>
      <c r="G9" s="20" t="s">
        <v>88</v>
      </c>
      <c r="H9" s="20" t="s">
        <v>89</v>
      </c>
      <c r="I9" s="20"/>
      <c r="J9" s="21" t="s">
        <v>790</v>
      </c>
      <c r="K9" s="20" t="s">
        <v>53</v>
      </c>
      <c r="L9" s="22" t="s">
        <v>90</v>
      </c>
      <c r="M9" s="22" t="s">
        <v>35</v>
      </c>
      <c r="N9" s="22" t="s">
        <v>36</v>
      </c>
      <c r="O9" s="22" t="s">
        <v>55</v>
      </c>
      <c r="P9" s="22" t="s">
        <v>37</v>
      </c>
      <c r="Q9" s="22" t="s">
        <v>35</v>
      </c>
      <c r="R9" s="22" t="s">
        <v>38</v>
      </c>
      <c r="S9" s="22" t="s">
        <v>39</v>
      </c>
      <c r="T9" s="22" t="s">
        <v>40</v>
      </c>
      <c r="U9" s="22" t="s">
        <v>35</v>
      </c>
      <c r="V9" s="22" t="s">
        <v>41</v>
      </c>
    </row>
    <row r="10" spans="1:22" ht="66" customHeight="1" x14ac:dyDescent="0.2">
      <c r="A10" s="22"/>
      <c r="B10" s="22"/>
      <c r="C10" s="22"/>
      <c r="D10" s="20" t="s">
        <v>91</v>
      </c>
      <c r="E10" s="20" t="s">
        <v>92</v>
      </c>
      <c r="F10" s="20" t="s">
        <v>93</v>
      </c>
      <c r="G10" s="20" t="s">
        <v>94</v>
      </c>
      <c r="H10" s="20" t="s">
        <v>95</v>
      </c>
      <c r="I10" s="20"/>
      <c r="J10" s="21" t="s">
        <v>791</v>
      </c>
      <c r="K10" s="20" t="s">
        <v>33</v>
      </c>
      <c r="L10" s="22" t="s">
        <v>96</v>
      </c>
      <c r="M10" s="22" t="s">
        <v>55</v>
      </c>
      <c r="N10" s="22" t="s">
        <v>97</v>
      </c>
      <c r="O10" s="22" t="s">
        <v>35</v>
      </c>
      <c r="P10" s="22" t="s">
        <v>37</v>
      </c>
      <c r="Q10" s="22" t="s">
        <v>55</v>
      </c>
      <c r="R10" s="22" t="s">
        <v>67</v>
      </c>
      <c r="S10" s="22" t="s">
        <v>57</v>
      </c>
      <c r="T10" s="22" t="s">
        <v>98</v>
      </c>
      <c r="U10" s="22" t="s">
        <v>55</v>
      </c>
      <c r="V10" s="22" t="s">
        <v>99</v>
      </c>
    </row>
    <row r="11" spans="1:22" ht="42" customHeight="1" x14ac:dyDescent="0.2">
      <c r="A11" s="22"/>
      <c r="B11" s="22"/>
      <c r="C11" s="22"/>
      <c r="D11" s="20" t="s">
        <v>100</v>
      </c>
      <c r="E11" s="20" t="s">
        <v>101</v>
      </c>
      <c r="F11" s="20" t="s">
        <v>102</v>
      </c>
      <c r="G11" s="20" t="s">
        <v>103</v>
      </c>
      <c r="H11" s="20" t="s">
        <v>104</v>
      </c>
      <c r="I11" s="20"/>
      <c r="J11" s="21" t="s">
        <v>792</v>
      </c>
      <c r="K11" s="20" t="s">
        <v>33</v>
      </c>
      <c r="L11" s="22" t="s">
        <v>105</v>
      </c>
      <c r="M11" s="22" t="s">
        <v>35</v>
      </c>
      <c r="N11" s="22" t="s">
        <v>36</v>
      </c>
      <c r="O11" s="22" t="s">
        <v>35</v>
      </c>
      <c r="P11" s="22" t="s">
        <v>37</v>
      </c>
      <c r="Q11" s="22" t="s">
        <v>35</v>
      </c>
      <c r="R11" s="22" t="s">
        <v>38</v>
      </c>
      <c r="S11" s="22" t="s">
        <v>39</v>
      </c>
      <c r="T11" s="22" t="s">
        <v>40</v>
      </c>
      <c r="U11" s="22" t="s">
        <v>35</v>
      </c>
      <c r="V11" s="22" t="s">
        <v>41</v>
      </c>
    </row>
    <row r="12" spans="1:22" ht="42" customHeight="1" x14ac:dyDescent="0.2">
      <c r="A12" s="22"/>
      <c r="B12" s="22"/>
      <c r="C12" s="22"/>
      <c r="D12" s="20" t="s">
        <v>106</v>
      </c>
      <c r="E12" s="20" t="s">
        <v>107</v>
      </c>
      <c r="F12" s="20" t="s">
        <v>108</v>
      </c>
      <c r="G12" s="20" t="s">
        <v>109</v>
      </c>
      <c r="H12" s="20" t="s">
        <v>110</v>
      </c>
      <c r="I12" s="20"/>
      <c r="J12" s="21" t="s">
        <v>793</v>
      </c>
      <c r="K12" s="20" t="s">
        <v>33</v>
      </c>
      <c r="L12" s="22" t="s">
        <v>111</v>
      </c>
      <c r="M12" s="22" t="s">
        <v>35</v>
      </c>
      <c r="N12" s="22" t="s">
        <v>36</v>
      </c>
      <c r="O12" s="22" t="s">
        <v>35</v>
      </c>
      <c r="P12" s="22" t="s">
        <v>37</v>
      </c>
      <c r="Q12" s="22" t="s">
        <v>35</v>
      </c>
      <c r="R12" s="22" t="s">
        <v>38</v>
      </c>
      <c r="S12" s="22" t="s">
        <v>39</v>
      </c>
      <c r="T12" s="22" t="s">
        <v>40</v>
      </c>
      <c r="U12" s="22" t="s">
        <v>35</v>
      </c>
      <c r="V12" s="22" t="s">
        <v>41</v>
      </c>
    </row>
    <row r="13" spans="1:22" ht="42" customHeight="1" x14ac:dyDescent="0.2">
      <c r="A13" s="19" t="s">
        <v>112</v>
      </c>
      <c r="B13" s="19" t="s">
        <v>113</v>
      </c>
      <c r="C13" s="19" t="s">
        <v>114</v>
      </c>
      <c r="D13" s="20" t="s">
        <v>115</v>
      </c>
      <c r="E13" s="20" t="s">
        <v>116</v>
      </c>
      <c r="F13" s="20" t="s">
        <v>117</v>
      </c>
      <c r="G13" s="20" t="s">
        <v>118</v>
      </c>
      <c r="H13" s="20" t="s">
        <v>119</v>
      </c>
      <c r="I13" s="22"/>
      <c r="J13" s="21" t="s">
        <v>794</v>
      </c>
      <c r="K13" s="22" t="s">
        <v>33</v>
      </c>
      <c r="L13" s="22" t="s">
        <v>120</v>
      </c>
      <c r="M13" s="22" t="s">
        <v>35</v>
      </c>
      <c r="N13" s="22" t="s">
        <v>121</v>
      </c>
      <c r="O13" s="22" t="s">
        <v>35</v>
      </c>
      <c r="P13" s="22" t="s">
        <v>37</v>
      </c>
      <c r="Q13" s="22" t="s">
        <v>35</v>
      </c>
      <c r="R13" s="22" t="s">
        <v>38</v>
      </c>
      <c r="S13" s="22" t="s">
        <v>39</v>
      </c>
      <c r="T13" s="22" t="s">
        <v>40</v>
      </c>
      <c r="U13" s="22" t="s">
        <v>35</v>
      </c>
      <c r="V13" s="22" t="s">
        <v>41</v>
      </c>
    </row>
    <row r="14" spans="1:22" ht="42" customHeight="1" x14ac:dyDescent="0.2">
      <c r="A14" s="22"/>
      <c r="B14" s="22"/>
      <c r="C14" s="22"/>
      <c r="D14" s="20" t="s">
        <v>122</v>
      </c>
      <c r="E14" s="20" t="s">
        <v>123</v>
      </c>
      <c r="F14" s="20" t="s">
        <v>124</v>
      </c>
      <c r="G14" s="20" t="s">
        <v>125</v>
      </c>
      <c r="H14" s="20" t="s">
        <v>126</v>
      </c>
      <c r="I14" s="22"/>
      <c r="J14" s="21" t="s">
        <v>795</v>
      </c>
      <c r="K14" s="22" t="s">
        <v>33</v>
      </c>
      <c r="L14" s="22" t="s">
        <v>127</v>
      </c>
      <c r="M14" s="22" t="s">
        <v>55</v>
      </c>
      <c r="N14" s="22" t="s">
        <v>128</v>
      </c>
      <c r="O14" s="22" t="s">
        <v>35</v>
      </c>
      <c r="P14" s="22" t="s">
        <v>37</v>
      </c>
      <c r="Q14" s="22" t="s">
        <v>35</v>
      </c>
      <c r="R14" s="22" t="s">
        <v>38</v>
      </c>
      <c r="S14" s="22" t="s">
        <v>57</v>
      </c>
      <c r="T14" s="22" t="s">
        <v>129</v>
      </c>
      <c r="U14" s="22" t="s">
        <v>55</v>
      </c>
      <c r="V14" s="22" t="s">
        <v>130</v>
      </c>
    </row>
    <row r="15" spans="1:22" ht="42" customHeight="1" x14ac:dyDescent="0.2">
      <c r="A15" s="22"/>
      <c r="B15" s="22"/>
      <c r="C15" s="22"/>
      <c r="D15" s="20" t="s">
        <v>131</v>
      </c>
      <c r="E15" s="20" t="s">
        <v>132</v>
      </c>
      <c r="F15" s="20" t="s">
        <v>133</v>
      </c>
      <c r="G15" s="20" t="s">
        <v>134</v>
      </c>
      <c r="H15" s="20" t="s">
        <v>135</v>
      </c>
      <c r="I15" s="22"/>
      <c r="J15" s="21" t="s">
        <v>796</v>
      </c>
      <c r="K15" s="22" t="s">
        <v>33</v>
      </c>
      <c r="L15" s="22" t="s">
        <v>136</v>
      </c>
      <c r="M15" s="22" t="s">
        <v>35</v>
      </c>
      <c r="N15" s="22" t="s">
        <v>121</v>
      </c>
      <c r="O15" s="22" t="s">
        <v>35</v>
      </c>
      <c r="P15" s="22" t="s">
        <v>37</v>
      </c>
      <c r="Q15" s="22" t="s">
        <v>35</v>
      </c>
      <c r="R15" s="22" t="s">
        <v>38</v>
      </c>
      <c r="S15" s="22" t="s">
        <v>39</v>
      </c>
      <c r="T15" s="22" t="s">
        <v>40</v>
      </c>
      <c r="U15" s="22" t="s">
        <v>35</v>
      </c>
      <c r="V15" s="22" t="s">
        <v>41</v>
      </c>
    </row>
    <row r="16" spans="1:22" ht="42" customHeight="1" x14ac:dyDescent="0.2">
      <c r="A16" s="22"/>
      <c r="B16" s="22"/>
      <c r="C16" s="22"/>
      <c r="D16" s="20" t="s">
        <v>137</v>
      </c>
      <c r="E16" s="20" t="s">
        <v>138</v>
      </c>
      <c r="F16" s="20" t="s">
        <v>139</v>
      </c>
      <c r="G16" s="20" t="s">
        <v>140</v>
      </c>
      <c r="H16" s="20" t="s">
        <v>141</v>
      </c>
      <c r="I16" s="22"/>
      <c r="J16" s="21" t="s">
        <v>797</v>
      </c>
      <c r="K16" s="22" t="s">
        <v>33</v>
      </c>
      <c r="L16" s="22" t="s">
        <v>142</v>
      </c>
      <c r="M16" s="22" t="s">
        <v>55</v>
      </c>
      <c r="N16" s="22" t="s">
        <v>143</v>
      </c>
      <c r="O16" s="22" t="s">
        <v>35</v>
      </c>
      <c r="P16" s="22" t="s">
        <v>37</v>
      </c>
      <c r="Q16" s="22" t="s">
        <v>35</v>
      </c>
      <c r="R16" s="22" t="s">
        <v>38</v>
      </c>
      <c r="S16" s="22" t="s">
        <v>57</v>
      </c>
      <c r="T16" s="22" t="s">
        <v>144</v>
      </c>
      <c r="U16" s="22" t="s">
        <v>55</v>
      </c>
      <c r="V16" s="22" t="s">
        <v>145</v>
      </c>
    </row>
    <row r="17" spans="1:22" ht="42" customHeight="1" x14ac:dyDescent="0.2">
      <c r="A17" s="22"/>
      <c r="B17" s="22"/>
      <c r="C17" s="22"/>
      <c r="D17" s="20" t="s">
        <v>146</v>
      </c>
      <c r="E17" s="20" t="s">
        <v>147</v>
      </c>
      <c r="F17" s="20" t="s">
        <v>148</v>
      </c>
      <c r="G17" s="20" t="s">
        <v>149</v>
      </c>
      <c r="H17" s="20" t="s">
        <v>150</v>
      </c>
      <c r="I17" s="22"/>
      <c r="J17" s="21" t="s">
        <v>798</v>
      </c>
      <c r="K17" s="22" t="s">
        <v>33</v>
      </c>
      <c r="L17" s="22" t="s">
        <v>151</v>
      </c>
      <c r="M17" s="22" t="s">
        <v>55</v>
      </c>
      <c r="N17" s="22" t="s">
        <v>152</v>
      </c>
      <c r="O17" s="22" t="s">
        <v>35</v>
      </c>
      <c r="P17" s="22" t="s">
        <v>37</v>
      </c>
      <c r="Q17" s="22" t="s">
        <v>35</v>
      </c>
      <c r="R17" s="22" t="s">
        <v>38</v>
      </c>
      <c r="S17" s="22" t="s">
        <v>57</v>
      </c>
      <c r="T17" s="22" t="s">
        <v>153</v>
      </c>
      <c r="U17" s="22" t="s">
        <v>55</v>
      </c>
      <c r="V17" s="22" t="s">
        <v>154</v>
      </c>
    </row>
    <row r="18" spans="1:22" ht="42" customHeight="1" x14ac:dyDescent="0.2">
      <c r="A18" s="22"/>
      <c r="B18" s="22"/>
      <c r="C18" s="22"/>
      <c r="D18" s="20" t="s">
        <v>155</v>
      </c>
      <c r="E18" s="20" t="s">
        <v>156</v>
      </c>
      <c r="F18" s="20" t="s">
        <v>157</v>
      </c>
      <c r="G18" s="20" t="s">
        <v>158</v>
      </c>
      <c r="H18" s="20" t="s">
        <v>159</v>
      </c>
      <c r="I18" s="22"/>
      <c r="J18" s="21" t="s">
        <v>799</v>
      </c>
      <c r="K18" s="22" t="s">
        <v>33</v>
      </c>
      <c r="L18" s="22" t="s">
        <v>160</v>
      </c>
      <c r="M18" s="22" t="s">
        <v>55</v>
      </c>
      <c r="N18" s="22" t="s">
        <v>161</v>
      </c>
      <c r="O18" s="22" t="s">
        <v>35</v>
      </c>
      <c r="P18" s="22" t="s">
        <v>37</v>
      </c>
      <c r="Q18" s="22" t="s">
        <v>35</v>
      </c>
      <c r="R18" s="22" t="s">
        <v>38</v>
      </c>
      <c r="S18" s="22" t="s">
        <v>57</v>
      </c>
      <c r="T18" s="22" t="s">
        <v>162</v>
      </c>
      <c r="U18" s="22" t="s">
        <v>55</v>
      </c>
      <c r="V18" s="22" t="s">
        <v>163</v>
      </c>
    </row>
    <row r="19" spans="1:22" ht="42" customHeight="1" x14ac:dyDescent="0.2">
      <c r="A19" s="22"/>
      <c r="B19" s="22"/>
      <c r="C19" s="22"/>
      <c r="D19" s="20" t="s">
        <v>164</v>
      </c>
      <c r="E19" s="20" t="s">
        <v>165</v>
      </c>
      <c r="F19" s="20" t="s">
        <v>166</v>
      </c>
      <c r="G19" s="20" t="s">
        <v>167</v>
      </c>
      <c r="H19" s="20" t="s">
        <v>168</v>
      </c>
      <c r="I19" s="22"/>
      <c r="J19" s="21" t="s">
        <v>800</v>
      </c>
      <c r="K19" s="22" t="s">
        <v>33</v>
      </c>
      <c r="L19" s="22" t="s">
        <v>169</v>
      </c>
      <c r="M19" s="22" t="s">
        <v>35</v>
      </c>
      <c r="N19" s="22" t="s">
        <v>121</v>
      </c>
      <c r="O19" s="22" t="s">
        <v>35</v>
      </c>
      <c r="P19" s="22" t="s">
        <v>37</v>
      </c>
      <c r="Q19" s="22" t="s">
        <v>35</v>
      </c>
      <c r="R19" s="22" t="s">
        <v>38</v>
      </c>
      <c r="S19" s="22" t="s">
        <v>39</v>
      </c>
      <c r="T19" s="22" t="s">
        <v>40</v>
      </c>
      <c r="U19" s="22" t="s">
        <v>35</v>
      </c>
      <c r="V19" s="22" t="s">
        <v>41</v>
      </c>
    </row>
    <row r="20" spans="1:22" ht="42" customHeight="1" x14ac:dyDescent="0.2">
      <c r="A20" s="22"/>
      <c r="B20" s="22"/>
      <c r="C20" s="22"/>
      <c r="D20" s="20" t="s">
        <v>170</v>
      </c>
      <c r="E20" s="20" t="s">
        <v>171</v>
      </c>
      <c r="F20" s="20" t="s">
        <v>172</v>
      </c>
      <c r="G20" s="20" t="s">
        <v>173</v>
      </c>
      <c r="H20" s="20" t="s">
        <v>174</v>
      </c>
      <c r="I20" s="22"/>
      <c r="J20" s="21" t="s">
        <v>801</v>
      </c>
      <c r="K20" s="22" t="s">
        <v>33</v>
      </c>
      <c r="L20" s="22" t="s">
        <v>175</v>
      </c>
      <c r="M20" s="22" t="s">
        <v>35</v>
      </c>
      <c r="N20" s="22" t="s">
        <v>121</v>
      </c>
      <c r="O20" s="22" t="s">
        <v>35</v>
      </c>
      <c r="P20" s="22" t="s">
        <v>37</v>
      </c>
      <c r="Q20" s="22" t="s">
        <v>35</v>
      </c>
      <c r="R20" s="22" t="s">
        <v>38</v>
      </c>
      <c r="S20" s="22" t="s">
        <v>39</v>
      </c>
      <c r="T20" s="22" t="s">
        <v>40</v>
      </c>
      <c r="U20" s="22" t="s">
        <v>35</v>
      </c>
      <c r="V20" s="22" t="s">
        <v>41</v>
      </c>
    </row>
    <row r="21" spans="1:22" ht="42" customHeight="1" x14ac:dyDescent="0.2">
      <c r="A21" s="22"/>
      <c r="B21" s="22"/>
      <c r="C21" s="22"/>
      <c r="D21" s="20" t="s">
        <v>176</v>
      </c>
      <c r="E21" s="20" t="s">
        <v>177</v>
      </c>
      <c r="F21" s="20" t="s">
        <v>178</v>
      </c>
      <c r="G21" s="20" t="s">
        <v>179</v>
      </c>
      <c r="H21" s="20" t="s">
        <v>180</v>
      </c>
      <c r="I21" s="22"/>
      <c r="J21" s="21" t="s">
        <v>802</v>
      </c>
      <c r="K21" s="22" t="s">
        <v>33</v>
      </c>
      <c r="L21" s="22" t="s">
        <v>181</v>
      </c>
      <c r="M21" s="22" t="s">
        <v>35</v>
      </c>
      <c r="N21" s="22" t="s">
        <v>121</v>
      </c>
      <c r="O21" s="22" t="s">
        <v>35</v>
      </c>
      <c r="P21" s="22" t="s">
        <v>37</v>
      </c>
      <c r="Q21" s="22" t="s">
        <v>35</v>
      </c>
      <c r="R21" s="22" t="s">
        <v>38</v>
      </c>
      <c r="S21" s="22" t="s">
        <v>39</v>
      </c>
      <c r="T21" s="22" t="s">
        <v>40</v>
      </c>
      <c r="U21" s="22" t="s">
        <v>35</v>
      </c>
      <c r="V21" s="22" t="s">
        <v>41</v>
      </c>
    </row>
    <row r="22" spans="1:22" ht="42" customHeight="1" x14ac:dyDescent="0.2">
      <c r="A22" s="22"/>
      <c r="B22" s="22"/>
      <c r="C22" s="22"/>
      <c r="D22" s="20" t="s">
        <v>182</v>
      </c>
      <c r="E22" s="20" t="s">
        <v>183</v>
      </c>
      <c r="F22" s="20" t="s">
        <v>184</v>
      </c>
      <c r="G22" s="20" t="s">
        <v>185</v>
      </c>
      <c r="H22" s="20" t="s">
        <v>186</v>
      </c>
      <c r="I22" s="22"/>
      <c r="J22" s="21" t="s">
        <v>803</v>
      </c>
      <c r="K22" s="22" t="s">
        <v>33</v>
      </c>
      <c r="L22" s="22" t="s">
        <v>187</v>
      </c>
      <c r="M22" s="22" t="s">
        <v>35</v>
      </c>
      <c r="N22" s="22" t="s">
        <v>121</v>
      </c>
      <c r="O22" s="22" t="s">
        <v>35</v>
      </c>
      <c r="P22" s="22" t="s">
        <v>37</v>
      </c>
      <c r="Q22" s="22" t="s">
        <v>35</v>
      </c>
      <c r="R22" s="22" t="s">
        <v>38</v>
      </c>
      <c r="S22" s="22" t="s">
        <v>39</v>
      </c>
      <c r="T22" s="22" t="s">
        <v>40</v>
      </c>
      <c r="U22" s="22" t="s">
        <v>35</v>
      </c>
      <c r="V22" s="22" t="s">
        <v>41</v>
      </c>
    </row>
    <row r="23" spans="1:22" ht="42" customHeight="1" x14ac:dyDescent="0.2">
      <c r="A23" s="19" t="s">
        <v>188</v>
      </c>
      <c r="B23" s="19" t="s">
        <v>189</v>
      </c>
      <c r="C23" s="19" t="s">
        <v>190</v>
      </c>
      <c r="D23" s="20" t="s">
        <v>191</v>
      </c>
      <c r="E23" s="20" t="s">
        <v>192</v>
      </c>
      <c r="F23" s="20" t="s">
        <v>193</v>
      </c>
      <c r="G23" s="20" t="s">
        <v>194</v>
      </c>
      <c r="H23" s="20" t="s">
        <v>195</v>
      </c>
      <c r="I23" s="22"/>
      <c r="J23" s="21" t="s">
        <v>804</v>
      </c>
      <c r="K23" s="22" t="s">
        <v>33</v>
      </c>
      <c r="L23" s="22" t="s">
        <v>196</v>
      </c>
      <c r="M23" s="22" t="s">
        <v>35</v>
      </c>
      <c r="N23" s="22" t="s">
        <v>197</v>
      </c>
      <c r="O23" s="22" t="s">
        <v>35</v>
      </c>
      <c r="P23" s="22" t="s">
        <v>37</v>
      </c>
      <c r="Q23" s="22" t="s">
        <v>35</v>
      </c>
      <c r="R23" s="22" t="s">
        <v>38</v>
      </c>
      <c r="S23" s="22" t="s">
        <v>39</v>
      </c>
      <c r="T23" s="22" t="s">
        <v>40</v>
      </c>
      <c r="U23" s="22" t="s">
        <v>35</v>
      </c>
      <c r="V23" s="22" t="s">
        <v>41</v>
      </c>
    </row>
    <row r="24" spans="1:22" ht="42" customHeight="1" x14ac:dyDescent="0.2">
      <c r="A24" s="22"/>
      <c r="B24" s="22"/>
      <c r="C24" s="22"/>
      <c r="D24" s="20" t="s">
        <v>198</v>
      </c>
      <c r="E24" s="20" t="s">
        <v>199</v>
      </c>
      <c r="F24" s="20" t="s">
        <v>200</v>
      </c>
      <c r="G24" s="20" t="s">
        <v>201</v>
      </c>
      <c r="H24" s="20" t="s">
        <v>202</v>
      </c>
      <c r="I24" s="22"/>
      <c r="J24" s="21" t="s">
        <v>805</v>
      </c>
      <c r="K24" s="22" t="s">
        <v>33</v>
      </c>
      <c r="L24" s="22" t="s">
        <v>203</v>
      </c>
      <c r="M24" s="22" t="s">
        <v>35</v>
      </c>
      <c r="N24" s="22" t="s">
        <v>204</v>
      </c>
      <c r="O24" s="22" t="s">
        <v>35</v>
      </c>
      <c r="P24" s="22" t="s">
        <v>37</v>
      </c>
      <c r="Q24" s="22" t="s">
        <v>35</v>
      </c>
      <c r="R24" s="22" t="s">
        <v>67</v>
      </c>
      <c r="S24" s="22" t="s">
        <v>39</v>
      </c>
      <c r="T24" s="22" t="s">
        <v>205</v>
      </c>
      <c r="U24" s="22" t="s">
        <v>35</v>
      </c>
      <c r="V24" s="22" t="s">
        <v>206</v>
      </c>
    </row>
    <row r="25" spans="1:22" ht="42" customHeight="1" x14ac:dyDescent="0.2">
      <c r="A25" s="22"/>
      <c r="B25" s="22"/>
      <c r="C25" s="22"/>
      <c r="D25" s="20" t="s">
        <v>207</v>
      </c>
      <c r="E25" s="20" t="s">
        <v>208</v>
      </c>
      <c r="F25" s="20" t="s">
        <v>209</v>
      </c>
      <c r="G25" s="20" t="s">
        <v>210</v>
      </c>
      <c r="H25" s="20" t="s">
        <v>211</v>
      </c>
      <c r="I25" s="22"/>
      <c r="J25" s="21" t="s">
        <v>806</v>
      </c>
      <c r="K25" s="22" t="s">
        <v>33</v>
      </c>
      <c r="L25" s="22" t="s">
        <v>212</v>
      </c>
      <c r="M25" s="22" t="s">
        <v>35</v>
      </c>
      <c r="N25" s="22" t="s">
        <v>213</v>
      </c>
      <c r="O25" s="22" t="s">
        <v>35</v>
      </c>
      <c r="P25" s="22" t="s">
        <v>37</v>
      </c>
      <c r="Q25" s="22" t="s">
        <v>35</v>
      </c>
      <c r="R25" s="22" t="s">
        <v>38</v>
      </c>
      <c r="S25" s="22" t="s">
        <v>39</v>
      </c>
      <c r="T25" s="22" t="s">
        <v>214</v>
      </c>
      <c r="U25" s="22" t="s">
        <v>35</v>
      </c>
      <c r="V25" s="22" t="s">
        <v>215</v>
      </c>
    </row>
    <row r="26" spans="1:22" ht="42" customHeight="1" x14ac:dyDescent="0.2">
      <c r="A26" s="22"/>
      <c r="B26" s="22"/>
      <c r="C26" s="22"/>
      <c r="D26" s="20" t="s">
        <v>216</v>
      </c>
      <c r="E26" s="20" t="s">
        <v>217</v>
      </c>
      <c r="F26" s="20" t="s">
        <v>218</v>
      </c>
      <c r="G26" s="20" t="s">
        <v>219</v>
      </c>
      <c r="H26" s="20" t="s">
        <v>220</v>
      </c>
      <c r="I26" s="22"/>
      <c r="J26" s="21" t="s">
        <v>807</v>
      </c>
      <c r="K26" s="22" t="s">
        <v>53</v>
      </c>
      <c r="L26" s="22" t="s">
        <v>221</v>
      </c>
      <c r="M26" s="22" t="s">
        <v>55</v>
      </c>
      <c r="N26" s="22" t="s">
        <v>222</v>
      </c>
      <c r="O26" s="22" t="s">
        <v>35</v>
      </c>
      <c r="P26" s="22" t="s">
        <v>37</v>
      </c>
      <c r="Q26" s="22" t="s">
        <v>35</v>
      </c>
      <c r="R26" s="22" t="s">
        <v>38</v>
      </c>
      <c r="S26" s="22" t="s">
        <v>57</v>
      </c>
      <c r="T26" s="22" t="s">
        <v>223</v>
      </c>
      <c r="U26" s="22" t="s">
        <v>55</v>
      </c>
      <c r="V26" s="22" t="s">
        <v>224</v>
      </c>
    </row>
    <row r="27" spans="1:22" ht="42" customHeight="1" x14ac:dyDescent="0.2">
      <c r="A27" s="22"/>
      <c r="B27" s="22"/>
      <c r="C27" s="22"/>
      <c r="D27" s="20" t="s">
        <v>225</v>
      </c>
      <c r="E27" s="20" t="s">
        <v>226</v>
      </c>
      <c r="F27" s="20" t="s">
        <v>227</v>
      </c>
      <c r="G27" s="20" t="s">
        <v>228</v>
      </c>
      <c r="H27" s="20" t="s">
        <v>229</v>
      </c>
      <c r="I27" s="22"/>
      <c r="J27" s="21" t="s">
        <v>808</v>
      </c>
      <c r="K27" s="22" t="s">
        <v>33</v>
      </c>
      <c r="L27" s="22" t="s">
        <v>230</v>
      </c>
      <c r="M27" s="22" t="s">
        <v>35</v>
      </c>
      <c r="N27" s="22" t="s">
        <v>197</v>
      </c>
      <c r="O27" s="22" t="s">
        <v>35</v>
      </c>
      <c r="P27" s="22" t="s">
        <v>37</v>
      </c>
      <c r="Q27" s="22" t="s">
        <v>35</v>
      </c>
      <c r="R27" s="22" t="s">
        <v>38</v>
      </c>
      <c r="S27" s="22" t="s">
        <v>39</v>
      </c>
      <c r="T27" s="22" t="s">
        <v>40</v>
      </c>
      <c r="U27" s="22" t="s">
        <v>35</v>
      </c>
      <c r="V27" s="22" t="s">
        <v>41</v>
      </c>
    </row>
    <row r="28" spans="1:22" ht="42" customHeight="1" x14ac:dyDescent="0.2">
      <c r="A28" s="22"/>
      <c r="B28" s="22"/>
      <c r="C28" s="22"/>
      <c r="D28" s="20" t="s">
        <v>231</v>
      </c>
      <c r="E28" s="20" t="s">
        <v>232</v>
      </c>
      <c r="F28" s="20" t="s">
        <v>233</v>
      </c>
      <c r="G28" s="20" t="s">
        <v>234</v>
      </c>
      <c r="H28" s="20" t="s">
        <v>235</v>
      </c>
      <c r="I28" s="22"/>
      <c r="J28" s="21" t="s">
        <v>809</v>
      </c>
      <c r="K28" s="22" t="s">
        <v>33</v>
      </c>
      <c r="L28" s="22" t="s">
        <v>236</v>
      </c>
      <c r="M28" s="22" t="s">
        <v>35</v>
      </c>
      <c r="N28" s="22" t="s">
        <v>197</v>
      </c>
      <c r="O28" s="22" t="s">
        <v>35</v>
      </c>
      <c r="P28" s="22" t="s">
        <v>37</v>
      </c>
      <c r="Q28" s="22" t="s">
        <v>35</v>
      </c>
      <c r="R28" s="22" t="s">
        <v>38</v>
      </c>
      <c r="S28" s="22" t="s">
        <v>39</v>
      </c>
      <c r="T28" s="22" t="s">
        <v>40</v>
      </c>
      <c r="U28" s="22" t="s">
        <v>35</v>
      </c>
      <c r="V28" s="22" t="s">
        <v>41</v>
      </c>
    </row>
    <row r="29" spans="1:22" ht="42" customHeight="1" x14ac:dyDescent="0.2">
      <c r="A29" s="22"/>
      <c r="B29" s="22"/>
      <c r="C29" s="22"/>
      <c r="D29" s="20" t="s">
        <v>237</v>
      </c>
      <c r="E29" s="20" t="s">
        <v>238</v>
      </c>
      <c r="F29" s="20" t="s">
        <v>239</v>
      </c>
      <c r="G29" s="20" t="s">
        <v>240</v>
      </c>
      <c r="H29" s="20" t="s">
        <v>241</v>
      </c>
      <c r="I29" s="22"/>
      <c r="J29" s="21" t="s">
        <v>810</v>
      </c>
      <c r="K29" s="22" t="s">
        <v>33</v>
      </c>
      <c r="L29" s="22" t="s">
        <v>242</v>
      </c>
      <c r="M29" s="22" t="s">
        <v>35</v>
      </c>
      <c r="N29" s="22" t="s">
        <v>197</v>
      </c>
      <c r="O29" s="22" t="s">
        <v>35</v>
      </c>
      <c r="P29" s="22" t="s">
        <v>37</v>
      </c>
      <c r="Q29" s="22" t="s">
        <v>35</v>
      </c>
      <c r="R29" s="22" t="s">
        <v>38</v>
      </c>
      <c r="S29" s="22" t="s">
        <v>39</v>
      </c>
      <c r="T29" s="22" t="s">
        <v>40</v>
      </c>
      <c r="U29" s="22" t="s">
        <v>35</v>
      </c>
      <c r="V29" s="22" t="s">
        <v>41</v>
      </c>
    </row>
    <row r="30" spans="1:22" ht="42" customHeight="1" x14ac:dyDescent="0.2">
      <c r="A30" s="22"/>
      <c r="B30" s="22"/>
      <c r="C30" s="22"/>
      <c r="D30" s="20" t="s">
        <v>243</v>
      </c>
      <c r="E30" s="20" t="s">
        <v>244</v>
      </c>
      <c r="F30" s="20" t="s">
        <v>245</v>
      </c>
      <c r="G30" s="20" t="s">
        <v>246</v>
      </c>
      <c r="H30" s="20" t="s">
        <v>247</v>
      </c>
      <c r="I30" s="22"/>
      <c r="J30" s="21" t="s">
        <v>811</v>
      </c>
      <c r="K30" s="22" t="s">
        <v>33</v>
      </c>
      <c r="L30" s="22" t="s">
        <v>248</v>
      </c>
      <c r="M30" s="22" t="s">
        <v>35</v>
      </c>
      <c r="N30" s="22" t="s">
        <v>197</v>
      </c>
      <c r="O30" s="22" t="s">
        <v>35</v>
      </c>
      <c r="P30" s="22" t="s">
        <v>37</v>
      </c>
      <c r="Q30" s="22" t="s">
        <v>35</v>
      </c>
      <c r="R30" s="22" t="s">
        <v>38</v>
      </c>
      <c r="S30" s="22" t="s">
        <v>39</v>
      </c>
      <c r="T30" s="22" t="s">
        <v>40</v>
      </c>
      <c r="U30" s="22" t="s">
        <v>35</v>
      </c>
      <c r="V30" s="22" t="s">
        <v>41</v>
      </c>
    </row>
    <row r="31" spans="1:22" ht="42" customHeight="1" x14ac:dyDescent="0.2">
      <c r="A31" s="22"/>
      <c r="B31" s="22"/>
      <c r="C31" s="22"/>
      <c r="D31" s="20" t="s">
        <v>249</v>
      </c>
      <c r="E31" s="20" t="s">
        <v>250</v>
      </c>
      <c r="F31" s="20" t="s">
        <v>251</v>
      </c>
      <c r="G31" s="20" t="s">
        <v>252</v>
      </c>
      <c r="H31" s="20" t="s">
        <v>253</v>
      </c>
      <c r="I31" s="22"/>
      <c r="J31" s="21" t="s">
        <v>812</v>
      </c>
      <c r="K31" s="22" t="s">
        <v>33</v>
      </c>
      <c r="L31" s="22" t="s">
        <v>254</v>
      </c>
      <c r="M31" s="22" t="s">
        <v>55</v>
      </c>
      <c r="N31" s="22" t="s">
        <v>255</v>
      </c>
      <c r="O31" s="22" t="s">
        <v>35</v>
      </c>
      <c r="P31" s="22" t="s">
        <v>37</v>
      </c>
      <c r="Q31" s="22" t="s">
        <v>55</v>
      </c>
      <c r="R31" s="22" t="s">
        <v>67</v>
      </c>
      <c r="S31" s="22" t="s">
        <v>57</v>
      </c>
      <c r="T31" s="22" t="s">
        <v>256</v>
      </c>
      <c r="U31" s="22" t="s">
        <v>55</v>
      </c>
      <c r="V31" s="22" t="s">
        <v>257</v>
      </c>
    </row>
    <row r="32" spans="1:22" ht="42" customHeight="1" x14ac:dyDescent="0.2">
      <c r="A32" s="22"/>
      <c r="B32" s="22"/>
      <c r="C32" s="22"/>
      <c r="D32" s="20" t="s">
        <v>258</v>
      </c>
      <c r="E32" s="20" t="s">
        <v>259</v>
      </c>
      <c r="F32" s="20" t="s">
        <v>260</v>
      </c>
      <c r="G32" s="20" t="s">
        <v>261</v>
      </c>
      <c r="H32" s="20" t="s">
        <v>262</v>
      </c>
      <c r="I32" s="22"/>
      <c r="J32" s="21" t="s">
        <v>813</v>
      </c>
      <c r="K32" s="22" t="s">
        <v>33</v>
      </c>
      <c r="L32" s="22" t="s">
        <v>263</v>
      </c>
      <c r="M32" s="22" t="s">
        <v>35</v>
      </c>
      <c r="N32" s="22" t="s">
        <v>197</v>
      </c>
      <c r="O32" s="22" t="s">
        <v>35</v>
      </c>
      <c r="P32" s="22" t="s">
        <v>37</v>
      </c>
      <c r="Q32" s="22" t="s">
        <v>35</v>
      </c>
      <c r="R32" s="22" t="s">
        <v>38</v>
      </c>
      <c r="S32" s="22" t="s">
        <v>39</v>
      </c>
      <c r="T32" s="22" t="s">
        <v>40</v>
      </c>
      <c r="U32" s="22" t="s">
        <v>35</v>
      </c>
      <c r="V32" s="22" t="s">
        <v>41</v>
      </c>
    </row>
    <row r="33" spans="1:22" ht="42" customHeight="1" x14ac:dyDescent="0.2">
      <c r="A33" s="19" t="s">
        <v>264</v>
      </c>
      <c r="B33" s="19" t="s">
        <v>265</v>
      </c>
      <c r="C33" s="19" t="s">
        <v>266</v>
      </c>
      <c r="D33" s="20" t="s">
        <v>267</v>
      </c>
      <c r="E33" s="20" t="s">
        <v>268</v>
      </c>
      <c r="F33" s="20" t="s">
        <v>269</v>
      </c>
      <c r="G33" s="20" t="s">
        <v>270</v>
      </c>
      <c r="H33" s="20" t="s">
        <v>271</v>
      </c>
      <c r="I33" s="22"/>
      <c r="J33" s="21" t="s">
        <v>814</v>
      </c>
      <c r="K33" s="22" t="s">
        <v>33</v>
      </c>
      <c r="L33" s="22" t="s">
        <v>272</v>
      </c>
      <c r="M33" s="22" t="s">
        <v>55</v>
      </c>
      <c r="N33" s="22" t="s">
        <v>273</v>
      </c>
      <c r="O33" s="22" t="s">
        <v>35</v>
      </c>
      <c r="P33" s="22" t="s">
        <v>37</v>
      </c>
      <c r="Q33" s="22" t="s">
        <v>35</v>
      </c>
      <c r="R33" s="22" t="s">
        <v>38</v>
      </c>
      <c r="S33" s="22" t="s">
        <v>57</v>
      </c>
      <c r="T33" s="22" t="s">
        <v>274</v>
      </c>
      <c r="U33" s="22" t="s">
        <v>55</v>
      </c>
      <c r="V33" s="22" t="s">
        <v>275</v>
      </c>
    </row>
    <row r="34" spans="1:22" ht="42" customHeight="1" x14ac:dyDescent="0.2">
      <c r="A34" s="22"/>
      <c r="B34" s="22"/>
      <c r="C34" s="22"/>
      <c r="D34" s="20" t="s">
        <v>276</v>
      </c>
      <c r="E34" s="20" t="s">
        <v>277</v>
      </c>
      <c r="F34" s="20" t="s">
        <v>278</v>
      </c>
      <c r="G34" s="20" t="s">
        <v>279</v>
      </c>
      <c r="H34" s="20" t="s">
        <v>280</v>
      </c>
      <c r="I34" s="22"/>
      <c r="J34" s="21" t="s">
        <v>815</v>
      </c>
      <c r="K34" s="22" t="s">
        <v>33</v>
      </c>
      <c r="L34" s="22" t="s">
        <v>281</v>
      </c>
      <c r="M34" s="22" t="s">
        <v>35</v>
      </c>
      <c r="N34" s="22" t="s">
        <v>282</v>
      </c>
      <c r="O34" s="22" t="s">
        <v>35</v>
      </c>
      <c r="P34" s="22" t="s">
        <v>37</v>
      </c>
      <c r="Q34" s="22" t="s">
        <v>35</v>
      </c>
      <c r="R34" s="22" t="s">
        <v>38</v>
      </c>
      <c r="S34" s="22" t="s">
        <v>39</v>
      </c>
      <c r="T34" s="22" t="s">
        <v>40</v>
      </c>
      <c r="U34" s="22" t="s">
        <v>35</v>
      </c>
      <c r="V34" s="22" t="s">
        <v>41</v>
      </c>
    </row>
    <row r="35" spans="1:22" ht="42" customHeight="1" x14ac:dyDescent="0.2">
      <c r="A35" s="22"/>
      <c r="B35" s="22"/>
      <c r="C35" s="22"/>
      <c r="D35" s="20" t="s">
        <v>283</v>
      </c>
      <c r="E35" s="20" t="s">
        <v>284</v>
      </c>
      <c r="F35" s="20" t="s">
        <v>285</v>
      </c>
      <c r="G35" s="20" t="s">
        <v>286</v>
      </c>
      <c r="H35" s="20" t="s">
        <v>287</v>
      </c>
      <c r="I35" s="22"/>
      <c r="J35" s="21" t="s">
        <v>816</v>
      </c>
      <c r="K35" s="22" t="s">
        <v>33</v>
      </c>
      <c r="L35" s="22" t="s">
        <v>288</v>
      </c>
      <c r="M35" s="22" t="s">
        <v>35</v>
      </c>
      <c r="N35" s="22" t="s">
        <v>282</v>
      </c>
      <c r="O35" s="22" t="s">
        <v>35</v>
      </c>
      <c r="P35" s="22" t="s">
        <v>37</v>
      </c>
      <c r="Q35" s="22" t="s">
        <v>35</v>
      </c>
      <c r="R35" s="22" t="s">
        <v>38</v>
      </c>
      <c r="S35" s="22" t="s">
        <v>39</v>
      </c>
      <c r="T35" s="22" t="s">
        <v>40</v>
      </c>
      <c r="U35" s="22" t="s">
        <v>35</v>
      </c>
      <c r="V35" s="22" t="s">
        <v>41</v>
      </c>
    </row>
    <row r="36" spans="1:22" ht="42" customHeight="1" x14ac:dyDescent="0.2">
      <c r="A36" s="22"/>
      <c r="B36" s="22"/>
      <c r="C36" s="22"/>
      <c r="D36" s="20" t="s">
        <v>289</v>
      </c>
      <c r="E36" s="20" t="s">
        <v>290</v>
      </c>
      <c r="F36" s="20" t="s">
        <v>291</v>
      </c>
      <c r="G36" s="20" t="s">
        <v>292</v>
      </c>
      <c r="H36" s="20" t="s">
        <v>293</v>
      </c>
      <c r="I36" s="22"/>
      <c r="J36" s="21" t="s">
        <v>817</v>
      </c>
      <c r="K36" s="22" t="s">
        <v>33</v>
      </c>
      <c r="L36" s="22" t="s">
        <v>294</v>
      </c>
      <c r="M36" s="22" t="s">
        <v>55</v>
      </c>
      <c r="N36" s="22" t="s">
        <v>295</v>
      </c>
      <c r="O36" s="22" t="s">
        <v>35</v>
      </c>
      <c r="P36" s="22" t="s">
        <v>37</v>
      </c>
      <c r="Q36" s="22" t="s">
        <v>55</v>
      </c>
      <c r="R36" s="22" t="s">
        <v>67</v>
      </c>
      <c r="S36" s="22" t="s">
        <v>57</v>
      </c>
      <c r="T36" s="22" t="s">
        <v>296</v>
      </c>
      <c r="U36" s="22" t="s">
        <v>55</v>
      </c>
      <c r="V36" s="22" t="s">
        <v>297</v>
      </c>
    </row>
    <row r="37" spans="1:22" ht="42" customHeight="1" x14ac:dyDescent="0.2">
      <c r="A37" s="22"/>
      <c r="B37" s="22"/>
      <c r="C37" s="22"/>
      <c r="D37" s="20" t="s">
        <v>298</v>
      </c>
      <c r="E37" s="20" t="s">
        <v>299</v>
      </c>
      <c r="F37" s="20" t="s">
        <v>300</v>
      </c>
      <c r="G37" s="20" t="s">
        <v>301</v>
      </c>
      <c r="H37" s="20" t="s">
        <v>302</v>
      </c>
      <c r="I37" s="22"/>
      <c r="J37" s="21" t="s">
        <v>818</v>
      </c>
      <c r="K37" s="22" t="s">
        <v>33</v>
      </c>
      <c r="L37" s="22" t="s">
        <v>303</v>
      </c>
      <c r="M37" s="22" t="s">
        <v>35</v>
      </c>
      <c r="N37" s="22" t="s">
        <v>282</v>
      </c>
      <c r="O37" s="22" t="s">
        <v>35</v>
      </c>
      <c r="P37" s="22" t="s">
        <v>37</v>
      </c>
      <c r="Q37" s="22" t="s">
        <v>35</v>
      </c>
      <c r="R37" s="22" t="s">
        <v>38</v>
      </c>
      <c r="S37" s="22" t="s">
        <v>39</v>
      </c>
      <c r="T37" s="22" t="s">
        <v>40</v>
      </c>
      <c r="U37" s="22" t="s">
        <v>35</v>
      </c>
      <c r="V37" s="22" t="s">
        <v>41</v>
      </c>
    </row>
    <row r="38" spans="1:22" ht="42" customHeight="1" x14ac:dyDescent="0.2">
      <c r="A38" s="22"/>
      <c r="B38" s="22"/>
      <c r="C38" s="22"/>
      <c r="D38" s="20" t="s">
        <v>304</v>
      </c>
      <c r="E38" s="20" t="s">
        <v>305</v>
      </c>
      <c r="F38" s="20" t="s">
        <v>306</v>
      </c>
      <c r="G38" s="20" t="s">
        <v>307</v>
      </c>
      <c r="H38" s="20" t="s">
        <v>308</v>
      </c>
      <c r="I38" s="22"/>
      <c r="J38" s="21" t="s">
        <v>819</v>
      </c>
      <c r="K38" s="22" t="s">
        <v>33</v>
      </c>
      <c r="L38" s="22" t="s">
        <v>309</v>
      </c>
      <c r="M38" s="22" t="s">
        <v>35</v>
      </c>
      <c r="N38" s="22" t="s">
        <v>282</v>
      </c>
      <c r="O38" s="22" t="s">
        <v>35</v>
      </c>
      <c r="P38" s="22" t="s">
        <v>37</v>
      </c>
      <c r="Q38" s="22" t="s">
        <v>35</v>
      </c>
      <c r="R38" s="22" t="s">
        <v>38</v>
      </c>
      <c r="S38" s="22" t="s">
        <v>39</v>
      </c>
      <c r="T38" s="22" t="s">
        <v>40</v>
      </c>
      <c r="U38" s="22" t="s">
        <v>35</v>
      </c>
      <c r="V38" s="22" t="s">
        <v>41</v>
      </c>
    </row>
    <row r="39" spans="1:22" ht="42" customHeight="1" x14ac:dyDescent="0.2">
      <c r="A39" s="22"/>
      <c r="B39" s="22"/>
      <c r="C39" s="22"/>
      <c r="D39" s="20" t="s">
        <v>310</v>
      </c>
      <c r="E39" s="20" t="s">
        <v>311</v>
      </c>
      <c r="F39" s="20" t="s">
        <v>312</v>
      </c>
      <c r="G39" s="20" t="s">
        <v>313</v>
      </c>
      <c r="H39" s="20" t="s">
        <v>314</v>
      </c>
      <c r="I39" s="22"/>
      <c r="J39" s="21" t="s">
        <v>820</v>
      </c>
      <c r="K39" s="22" t="s">
        <v>33</v>
      </c>
      <c r="L39" s="22" t="s">
        <v>315</v>
      </c>
      <c r="M39" s="22" t="s">
        <v>35</v>
      </c>
      <c r="N39" s="22" t="s">
        <v>282</v>
      </c>
      <c r="O39" s="22" t="s">
        <v>35</v>
      </c>
      <c r="P39" s="22" t="s">
        <v>37</v>
      </c>
      <c r="Q39" s="22" t="s">
        <v>35</v>
      </c>
      <c r="R39" s="22" t="s">
        <v>38</v>
      </c>
      <c r="S39" s="22" t="s">
        <v>39</v>
      </c>
      <c r="T39" s="22" t="s">
        <v>40</v>
      </c>
      <c r="U39" s="22" t="s">
        <v>35</v>
      </c>
      <c r="V39" s="22" t="s">
        <v>41</v>
      </c>
    </row>
    <row r="40" spans="1:22" ht="42" customHeight="1" x14ac:dyDescent="0.2">
      <c r="A40" s="22"/>
      <c r="B40" s="22"/>
      <c r="C40" s="22"/>
      <c r="D40" s="20" t="s">
        <v>316</v>
      </c>
      <c r="E40" s="20" t="s">
        <v>317</v>
      </c>
      <c r="F40" s="20" t="s">
        <v>318</v>
      </c>
      <c r="G40" s="20" t="s">
        <v>319</v>
      </c>
      <c r="H40" s="20" t="s">
        <v>320</v>
      </c>
      <c r="I40" s="22"/>
      <c r="J40" s="21" t="s">
        <v>821</v>
      </c>
      <c r="K40" s="22" t="s">
        <v>33</v>
      </c>
      <c r="L40" s="22" t="s">
        <v>321</v>
      </c>
      <c r="M40" s="22" t="s">
        <v>35</v>
      </c>
      <c r="N40" s="22" t="s">
        <v>282</v>
      </c>
      <c r="O40" s="22" t="s">
        <v>35</v>
      </c>
      <c r="P40" s="22" t="s">
        <v>37</v>
      </c>
      <c r="Q40" s="22" t="s">
        <v>35</v>
      </c>
      <c r="R40" s="22" t="s">
        <v>38</v>
      </c>
      <c r="S40" s="22" t="s">
        <v>39</v>
      </c>
      <c r="T40" s="22" t="s">
        <v>40</v>
      </c>
      <c r="U40" s="22" t="s">
        <v>35</v>
      </c>
      <c r="V40" s="22" t="s">
        <v>41</v>
      </c>
    </row>
    <row r="41" spans="1:22" ht="42" customHeight="1" x14ac:dyDescent="0.2">
      <c r="A41" s="22"/>
      <c r="B41" s="22"/>
      <c r="C41" s="22"/>
      <c r="D41" s="20" t="s">
        <v>322</v>
      </c>
      <c r="E41" s="20" t="s">
        <v>323</v>
      </c>
      <c r="F41" s="20" t="s">
        <v>324</v>
      </c>
      <c r="G41" s="20" t="s">
        <v>325</v>
      </c>
      <c r="H41" s="20" t="s">
        <v>326</v>
      </c>
      <c r="I41" s="22"/>
      <c r="J41" s="21" t="s">
        <v>822</v>
      </c>
      <c r="K41" s="22" t="s">
        <v>33</v>
      </c>
      <c r="L41" s="22" t="s">
        <v>327</v>
      </c>
      <c r="M41" s="22" t="s">
        <v>35</v>
      </c>
      <c r="N41" s="22" t="s">
        <v>282</v>
      </c>
      <c r="O41" s="22" t="s">
        <v>35</v>
      </c>
      <c r="P41" s="22" t="s">
        <v>37</v>
      </c>
      <c r="Q41" s="22" t="s">
        <v>35</v>
      </c>
      <c r="R41" s="22" t="s">
        <v>38</v>
      </c>
      <c r="S41" s="22" t="s">
        <v>39</v>
      </c>
      <c r="T41" s="22" t="s">
        <v>40</v>
      </c>
      <c r="U41" s="22" t="s">
        <v>35</v>
      </c>
      <c r="V41" s="22" t="s">
        <v>41</v>
      </c>
    </row>
    <row r="42" spans="1:22" s="1" customFormat="1" ht="42" customHeight="1" x14ac:dyDescent="0.2">
      <c r="A42" s="22"/>
      <c r="B42" s="22"/>
      <c r="C42" s="22"/>
      <c r="D42" s="20" t="s">
        <v>328</v>
      </c>
      <c r="E42" s="20" t="s">
        <v>329</v>
      </c>
      <c r="F42" s="20" t="s">
        <v>330</v>
      </c>
      <c r="G42" s="20" t="s">
        <v>88</v>
      </c>
      <c r="H42" s="20" t="s">
        <v>331</v>
      </c>
      <c r="I42" s="22"/>
      <c r="J42" s="21" t="s">
        <v>823</v>
      </c>
      <c r="K42" s="22" t="s">
        <v>33</v>
      </c>
      <c r="L42" s="22" t="s">
        <v>332</v>
      </c>
      <c r="M42" s="22" t="s">
        <v>35</v>
      </c>
      <c r="N42" s="22" t="s">
        <v>282</v>
      </c>
      <c r="O42" s="22" t="s">
        <v>35</v>
      </c>
      <c r="P42" s="22" t="s">
        <v>37</v>
      </c>
      <c r="Q42" s="22" t="s">
        <v>35</v>
      </c>
      <c r="R42" s="22" t="s">
        <v>38</v>
      </c>
      <c r="S42" s="22" t="s">
        <v>39</v>
      </c>
      <c r="T42" s="22" t="s">
        <v>40</v>
      </c>
      <c r="U42" s="22" t="s">
        <v>35</v>
      </c>
      <c r="V42" s="22" t="s">
        <v>41</v>
      </c>
    </row>
    <row r="43" spans="1:22" ht="42" customHeight="1" x14ac:dyDescent="0.2">
      <c r="A43" s="23" t="s">
        <v>333</v>
      </c>
      <c r="B43" s="23" t="s">
        <v>334</v>
      </c>
      <c r="C43" s="23" t="s">
        <v>335</v>
      </c>
      <c r="D43" s="24" t="s">
        <v>336</v>
      </c>
      <c r="E43" s="24" t="s">
        <v>337</v>
      </c>
      <c r="F43" s="24" t="s">
        <v>338</v>
      </c>
      <c r="G43" s="24" t="s">
        <v>339</v>
      </c>
      <c r="H43" s="24" t="s">
        <v>340</v>
      </c>
      <c r="I43" s="25"/>
      <c r="J43" s="21" t="s">
        <v>824</v>
      </c>
      <c r="K43" s="25" t="s">
        <v>33</v>
      </c>
      <c r="L43" s="25" t="s">
        <v>341</v>
      </c>
      <c r="M43" s="25" t="s">
        <v>35</v>
      </c>
      <c r="N43" s="25" t="s">
        <v>342</v>
      </c>
      <c r="O43" s="25" t="s">
        <v>35</v>
      </c>
      <c r="P43" s="25" t="s">
        <v>37</v>
      </c>
      <c r="Q43" s="25" t="s">
        <v>35</v>
      </c>
      <c r="R43" s="25" t="s">
        <v>38</v>
      </c>
      <c r="S43" s="25" t="s">
        <v>39</v>
      </c>
      <c r="T43" s="25" t="s">
        <v>40</v>
      </c>
      <c r="U43" s="25" t="s">
        <v>35</v>
      </c>
      <c r="V43" s="25" t="s">
        <v>41</v>
      </c>
    </row>
    <row r="44" spans="1:22" ht="42" customHeight="1" x14ac:dyDescent="0.2">
      <c r="A44" s="26"/>
      <c r="B44" s="26"/>
      <c r="C44" s="26"/>
      <c r="D44" s="27" t="s">
        <v>343</v>
      </c>
      <c r="E44" s="27" t="s">
        <v>344</v>
      </c>
      <c r="F44" s="27" t="s">
        <v>345</v>
      </c>
      <c r="G44" s="27" t="s">
        <v>346</v>
      </c>
      <c r="H44" s="27" t="s">
        <v>347</v>
      </c>
      <c r="I44" s="26"/>
      <c r="J44" s="21" t="s">
        <v>825</v>
      </c>
      <c r="K44" s="26" t="s">
        <v>53</v>
      </c>
      <c r="L44" s="26" t="s">
        <v>349</v>
      </c>
      <c r="M44" s="26" t="s">
        <v>55</v>
      </c>
      <c r="N44" s="26" t="s">
        <v>887</v>
      </c>
      <c r="O44" s="26" t="s">
        <v>35</v>
      </c>
      <c r="P44" s="26" t="s">
        <v>888</v>
      </c>
      <c r="Q44" s="26" t="s">
        <v>55</v>
      </c>
      <c r="R44" s="26" t="s">
        <v>889</v>
      </c>
      <c r="S44" s="26" t="s">
        <v>57</v>
      </c>
      <c r="T44" s="26" t="s">
        <v>890</v>
      </c>
      <c r="U44" s="26" t="s">
        <v>55</v>
      </c>
      <c r="V44" s="26" t="s">
        <v>891</v>
      </c>
    </row>
    <row r="45" spans="1:22" ht="42" customHeight="1" x14ac:dyDescent="0.2">
      <c r="A45" s="28"/>
      <c r="B45" s="28"/>
      <c r="C45" s="28"/>
      <c r="D45" s="29" t="s">
        <v>353</v>
      </c>
      <c r="E45" s="29" t="s">
        <v>354</v>
      </c>
      <c r="F45" s="29" t="s">
        <v>355</v>
      </c>
      <c r="G45" s="29" t="s">
        <v>252</v>
      </c>
      <c r="H45" s="29" t="s">
        <v>356</v>
      </c>
      <c r="I45" s="28"/>
      <c r="J45" s="21" t="s">
        <v>826</v>
      </c>
      <c r="K45" s="28" t="s">
        <v>33</v>
      </c>
      <c r="L45" s="28" t="s">
        <v>357</v>
      </c>
      <c r="M45" s="28" t="s">
        <v>55</v>
      </c>
      <c r="N45" s="28" t="s">
        <v>358</v>
      </c>
      <c r="O45" s="28" t="s">
        <v>35</v>
      </c>
      <c r="P45" s="28" t="s">
        <v>37</v>
      </c>
      <c r="Q45" s="28" t="s">
        <v>55</v>
      </c>
      <c r="R45" s="28" t="s">
        <v>67</v>
      </c>
      <c r="S45" s="28" t="s">
        <v>57</v>
      </c>
      <c r="T45" s="28" t="s">
        <v>359</v>
      </c>
      <c r="U45" s="28" t="s">
        <v>55</v>
      </c>
      <c r="V45" s="28" t="s">
        <v>360</v>
      </c>
    </row>
    <row r="46" spans="1:22" ht="42" customHeight="1" x14ac:dyDescent="0.2">
      <c r="A46" s="22"/>
      <c r="B46" s="22"/>
      <c r="C46" s="22"/>
      <c r="D46" s="20" t="s">
        <v>361</v>
      </c>
      <c r="E46" s="20" t="s">
        <v>362</v>
      </c>
      <c r="F46" s="20" t="s">
        <v>363</v>
      </c>
      <c r="G46" s="20" t="s">
        <v>364</v>
      </c>
      <c r="H46" s="20" t="s">
        <v>365</v>
      </c>
      <c r="I46" s="22"/>
      <c r="J46" s="21" t="s">
        <v>827</v>
      </c>
      <c r="K46" s="22" t="s">
        <v>33</v>
      </c>
      <c r="L46" s="22" t="s">
        <v>366</v>
      </c>
      <c r="M46" s="22" t="s">
        <v>35</v>
      </c>
      <c r="N46" s="22" t="s">
        <v>342</v>
      </c>
      <c r="O46" s="22" t="s">
        <v>35</v>
      </c>
      <c r="P46" s="22" t="s">
        <v>37</v>
      </c>
      <c r="Q46" s="22" t="s">
        <v>35</v>
      </c>
      <c r="R46" s="22" t="s">
        <v>38</v>
      </c>
      <c r="S46" s="22" t="s">
        <v>39</v>
      </c>
      <c r="T46" s="22" t="s">
        <v>40</v>
      </c>
      <c r="U46" s="22" t="s">
        <v>35</v>
      </c>
      <c r="V46" s="22" t="s">
        <v>41</v>
      </c>
    </row>
    <row r="47" spans="1:22" ht="42" customHeight="1" x14ac:dyDescent="0.2">
      <c r="A47" s="22"/>
      <c r="B47" s="22"/>
      <c r="C47" s="22"/>
      <c r="D47" s="20" t="s">
        <v>367</v>
      </c>
      <c r="E47" s="20" t="s">
        <v>368</v>
      </c>
      <c r="F47" s="20" t="s">
        <v>369</v>
      </c>
      <c r="G47" s="20" t="s">
        <v>370</v>
      </c>
      <c r="H47" s="20" t="s">
        <v>371</v>
      </c>
      <c r="I47" s="22"/>
      <c r="J47" s="21" t="s">
        <v>828</v>
      </c>
      <c r="K47" s="22" t="s">
        <v>33</v>
      </c>
      <c r="L47" s="22" t="s">
        <v>372</v>
      </c>
      <c r="M47" s="22" t="s">
        <v>35</v>
      </c>
      <c r="N47" s="22" t="s">
        <v>342</v>
      </c>
      <c r="O47" s="22" t="s">
        <v>35</v>
      </c>
      <c r="P47" s="22" t="s">
        <v>37</v>
      </c>
      <c r="Q47" s="22" t="s">
        <v>35</v>
      </c>
      <c r="R47" s="22" t="s">
        <v>38</v>
      </c>
      <c r="S47" s="22" t="s">
        <v>39</v>
      </c>
      <c r="T47" s="22" t="s">
        <v>40</v>
      </c>
      <c r="U47" s="22" t="s">
        <v>35</v>
      </c>
      <c r="V47" s="22" t="s">
        <v>41</v>
      </c>
    </row>
    <row r="48" spans="1:22" ht="42" customHeight="1" x14ac:dyDescent="0.2">
      <c r="A48" s="22"/>
      <c r="B48" s="22"/>
      <c r="C48" s="22"/>
      <c r="D48" s="20" t="s">
        <v>373</v>
      </c>
      <c r="E48" s="20" t="s">
        <v>374</v>
      </c>
      <c r="F48" s="20" t="s">
        <v>375</v>
      </c>
      <c r="G48" s="20" t="s">
        <v>376</v>
      </c>
      <c r="H48" s="20" t="s">
        <v>377</v>
      </c>
      <c r="I48" s="22"/>
      <c r="J48" s="21" t="s">
        <v>829</v>
      </c>
      <c r="K48" s="22" t="s">
        <v>53</v>
      </c>
      <c r="L48" s="22" t="s">
        <v>378</v>
      </c>
      <c r="M48" s="22" t="s">
        <v>55</v>
      </c>
      <c r="N48" s="22" t="s">
        <v>379</v>
      </c>
      <c r="O48" s="22" t="s">
        <v>35</v>
      </c>
      <c r="P48" s="22" t="s">
        <v>37</v>
      </c>
      <c r="Q48" s="22" t="s">
        <v>35</v>
      </c>
      <c r="R48" s="22" t="s">
        <v>38</v>
      </c>
      <c r="S48" s="22" t="s">
        <v>57</v>
      </c>
      <c r="T48" s="22" t="s">
        <v>380</v>
      </c>
      <c r="U48" s="22" t="s">
        <v>55</v>
      </c>
      <c r="V48" s="22" t="s">
        <v>381</v>
      </c>
    </row>
    <row r="49" spans="1:22" ht="42" customHeight="1" x14ac:dyDescent="0.2">
      <c r="A49" s="25"/>
      <c r="B49" s="25"/>
      <c r="C49" s="25"/>
      <c r="D49" s="24" t="s">
        <v>382</v>
      </c>
      <c r="E49" s="24" t="s">
        <v>383</v>
      </c>
      <c r="F49" s="24" t="s">
        <v>384</v>
      </c>
      <c r="G49" s="24" t="s">
        <v>385</v>
      </c>
      <c r="H49" s="24" t="s">
        <v>386</v>
      </c>
      <c r="I49" s="25"/>
      <c r="J49" s="21" t="s">
        <v>830</v>
      </c>
      <c r="K49" s="25" t="s">
        <v>33</v>
      </c>
      <c r="L49" s="25" t="s">
        <v>387</v>
      </c>
      <c r="M49" s="25" t="s">
        <v>55</v>
      </c>
      <c r="N49" s="25" t="s">
        <v>388</v>
      </c>
      <c r="O49" s="25" t="s">
        <v>35</v>
      </c>
      <c r="P49" s="25" t="s">
        <v>37</v>
      </c>
      <c r="Q49" s="25" t="s">
        <v>55</v>
      </c>
      <c r="R49" s="25" t="s">
        <v>67</v>
      </c>
      <c r="S49" s="25" t="s">
        <v>57</v>
      </c>
      <c r="T49" s="25" t="s">
        <v>389</v>
      </c>
      <c r="U49" s="25" t="s">
        <v>55</v>
      </c>
      <c r="V49" s="25" t="s">
        <v>390</v>
      </c>
    </row>
    <row r="50" spans="1:22" ht="42" customHeight="1" x14ac:dyDescent="0.2">
      <c r="A50" s="26"/>
      <c r="B50" s="26"/>
      <c r="C50" s="26"/>
      <c r="D50" s="27" t="s">
        <v>391</v>
      </c>
      <c r="E50" s="27" t="s">
        <v>392</v>
      </c>
      <c r="F50" s="27" t="s">
        <v>393</v>
      </c>
      <c r="G50" s="27" t="s">
        <v>394</v>
      </c>
      <c r="H50" s="27" t="s">
        <v>395</v>
      </c>
      <c r="I50" s="26"/>
      <c r="J50" s="21" t="s">
        <v>831</v>
      </c>
      <c r="K50" s="26" t="s">
        <v>33</v>
      </c>
      <c r="L50" s="26" t="s">
        <v>396</v>
      </c>
      <c r="M50" s="26" t="s">
        <v>55</v>
      </c>
      <c r="N50" s="26" t="s">
        <v>887</v>
      </c>
      <c r="O50" s="26" t="s">
        <v>35</v>
      </c>
      <c r="P50" s="26" t="s">
        <v>888</v>
      </c>
      <c r="Q50" s="26" t="s">
        <v>55</v>
      </c>
      <c r="R50" s="26" t="s">
        <v>351</v>
      </c>
      <c r="S50" s="26" t="s">
        <v>57</v>
      </c>
      <c r="T50" s="26" t="s">
        <v>890</v>
      </c>
      <c r="U50" s="26" t="s">
        <v>55</v>
      </c>
      <c r="V50" s="26" t="s">
        <v>892</v>
      </c>
    </row>
    <row r="51" spans="1:22" ht="42" customHeight="1" x14ac:dyDescent="0.2">
      <c r="A51" s="26"/>
      <c r="B51" s="26"/>
      <c r="C51" s="26"/>
      <c r="D51" s="27" t="s">
        <v>397</v>
      </c>
      <c r="E51" s="27" t="s">
        <v>398</v>
      </c>
      <c r="F51" s="27" t="s">
        <v>399</v>
      </c>
      <c r="G51" s="27" t="s">
        <v>400</v>
      </c>
      <c r="H51" s="27" t="s">
        <v>401</v>
      </c>
      <c r="I51" s="26"/>
      <c r="J51" s="21" t="s">
        <v>832</v>
      </c>
      <c r="K51" s="26" t="s">
        <v>53</v>
      </c>
      <c r="L51" s="26" t="s">
        <v>402</v>
      </c>
      <c r="M51" s="26" t="s">
        <v>55</v>
      </c>
      <c r="N51" s="26" t="s">
        <v>887</v>
      </c>
      <c r="O51" s="26" t="s">
        <v>35</v>
      </c>
      <c r="P51" s="26" t="s">
        <v>888</v>
      </c>
      <c r="Q51" s="26" t="s">
        <v>55</v>
      </c>
      <c r="R51" s="26" t="s">
        <v>351</v>
      </c>
      <c r="S51" s="26" t="s">
        <v>57</v>
      </c>
      <c r="T51" s="26" t="s">
        <v>890</v>
      </c>
      <c r="U51" s="26" t="s">
        <v>55</v>
      </c>
      <c r="V51" s="26" t="s">
        <v>893</v>
      </c>
    </row>
    <row r="52" spans="1:22" ht="42" customHeight="1" x14ac:dyDescent="0.2">
      <c r="A52" s="28"/>
      <c r="B52" s="28"/>
      <c r="C52" s="28"/>
      <c r="D52" s="29" t="s">
        <v>403</v>
      </c>
      <c r="E52" s="29" t="s">
        <v>404</v>
      </c>
      <c r="F52" s="29" t="s">
        <v>405</v>
      </c>
      <c r="G52" s="29" t="s">
        <v>406</v>
      </c>
      <c r="H52" s="29" t="s">
        <v>407</v>
      </c>
      <c r="I52" s="28"/>
      <c r="J52" s="21" t="s">
        <v>833</v>
      </c>
      <c r="K52" s="28" t="s">
        <v>33</v>
      </c>
      <c r="L52" s="28" t="s">
        <v>408</v>
      </c>
      <c r="M52" s="28" t="s">
        <v>35</v>
      </c>
      <c r="N52" s="28" t="s">
        <v>342</v>
      </c>
      <c r="O52" s="28" t="s">
        <v>35</v>
      </c>
      <c r="P52" s="28" t="s">
        <v>37</v>
      </c>
      <c r="Q52" s="28" t="s">
        <v>35</v>
      </c>
      <c r="R52" s="28" t="s">
        <v>38</v>
      </c>
      <c r="S52" s="28" t="s">
        <v>39</v>
      </c>
      <c r="T52" s="28" t="s">
        <v>40</v>
      </c>
      <c r="U52" s="28" t="s">
        <v>35</v>
      </c>
      <c r="V52" s="28" t="s">
        <v>41</v>
      </c>
    </row>
    <row r="53" spans="1:22" ht="42" customHeight="1" x14ac:dyDescent="0.2">
      <c r="A53" s="19" t="s">
        <v>409</v>
      </c>
      <c r="B53" s="19" t="s">
        <v>410</v>
      </c>
      <c r="C53" s="19" t="s">
        <v>411</v>
      </c>
      <c r="D53" s="20" t="s">
        <v>412</v>
      </c>
      <c r="E53" s="20" t="s">
        <v>413</v>
      </c>
      <c r="F53" s="20" t="s">
        <v>193</v>
      </c>
      <c r="G53" s="20" t="s">
        <v>414</v>
      </c>
      <c r="H53" s="20" t="s">
        <v>415</v>
      </c>
      <c r="I53" s="22"/>
      <c r="J53" s="21" t="s">
        <v>834</v>
      </c>
      <c r="K53" s="22" t="s">
        <v>33</v>
      </c>
      <c r="L53" s="22" t="s">
        <v>416</v>
      </c>
      <c r="M53" s="22" t="s">
        <v>35</v>
      </c>
      <c r="N53" s="22" t="s">
        <v>417</v>
      </c>
      <c r="O53" s="22" t="s">
        <v>35</v>
      </c>
      <c r="P53" s="22" t="s">
        <v>37</v>
      </c>
      <c r="Q53" s="22" t="s">
        <v>35</v>
      </c>
      <c r="R53" s="22" t="s">
        <v>38</v>
      </c>
      <c r="S53" s="22" t="s">
        <v>39</v>
      </c>
      <c r="T53" s="22" t="s">
        <v>40</v>
      </c>
      <c r="U53" s="22" t="s">
        <v>35</v>
      </c>
      <c r="V53" s="22" t="s">
        <v>41</v>
      </c>
    </row>
    <row r="54" spans="1:22" ht="42" customHeight="1" x14ac:dyDescent="0.2">
      <c r="A54" s="22"/>
      <c r="B54" s="22"/>
      <c r="C54" s="22"/>
      <c r="D54" s="20" t="s">
        <v>418</v>
      </c>
      <c r="E54" s="20" t="s">
        <v>419</v>
      </c>
      <c r="F54" s="20" t="s">
        <v>420</v>
      </c>
      <c r="G54" s="20" t="s">
        <v>421</v>
      </c>
      <c r="H54" s="20" t="s">
        <v>422</v>
      </c>
      <c r="I54" s="22"/>
      <c r="J54" s="21" t="s">
        <v>835</v>
      </c>
      <c r="K54" s="22" t="s">
        <v>33</v>
      </c>
      <c r="L54" s="22" t="s">
        <v>423</v>
      </c>
      <c r="M54" s="22" t="s">
        <v>35</v>
      </c>
      <c r="N54" s="22" t="s">
        <v>424</v>
      </c>
      <c r="O54" s="22" t="s">
        <v>35</v>
      </c>
      <c r="P54" s="22" t="s">
        <v>37</v>
      </c>
      <c r="Q54" s="22" t="s">
        <v>35</v>
      </c>
      <c r="R54" s="22" t="s">
        <v>38</v>
      </c>
      <c r="S54" s="22" t="s">
        <v>39</v>
      </c>
      <c r="T54" s="22" t="s">
        <v>425</v>
      </c>
      <c r="U54" s="22" t="s">
        <v>35</v>
      </c>
      <c r="V54" s="22" t="s">
        <v>426</v>
      </c>
    </row>
    <row r="55" spans="1:22" ht="42" customHeight="1" x14ac:dyDescent="0.2">
      <c r="A55" s="22"/>
      <c r="B55" s="22"/>
      <c r="C55" s="22"/>
      <c r="D55" s="20" t="s">
        <v>427</v>
      </c>
      <c r="E55" s="20" t="s">
        <v>428</v>
      </c>
      <c r="F55" s="20" t="s">
        <v>429</v>
      </c>
      <c r="G55" s="20" t="s">
        <v>228</v>
      </c>
      <c r="H55" s="20" t="s">
        <v>430</v>
      </c>
      <c r="I55" s="22"/>
      <c r="J55" s="21" t="s">
        <v>836</v>
      </c>
      <c r="K55" s="22" t="s">
        <v>33</v>
      </c>
      <c r="L55" s="22" t="s">
        <v>431</v>
      </c>
      <c r="M55" s="22" t="s">
        <v>55</v>
      </c>
      <c r="N55" s="22" t="s">
        <v>432</v>
      </c>
      <c r="O55" s="22" t="s">
        <v>35</v>
      </c>
      <c r="P55" s="22" t="s">
        <v>37</v>
      </c>
      <c r="Q55" s="22" t="s">
        <v>55</v>
      </c>
      <c r="R55" s="22" t="s">
        <v>67</v>
      </c>
      <c r="S55" s="22" t="s">
        <v>57</v>
      </c>
      <c r="T55" s="22" t="s">
        <v>433</v>
      </c>
      <c r="U55" s="22" t="s">
        <v>55</v>
      </c>
      <c r="V55" s="22" t="s">
        <v>434</v>
      </c>
    </row>
    <row r="56" spans="1:22" ht="42" customHeight="1" x14ac:dyDescent="0.2">
      <c r="A56" s="22"/>
      <c r="B56" s="22"/>
      <c r="C56" s="22"/>
      <c r="D56" s="20" t="s">
        <v>435</v>
      </c>
      <c r="E56" s="20" t="s">
        <v>436</v>
      </c>
      <c r="F56" s="20" t="s">
        <v>437</v>
      </c>
      <c r="G56" s="20" t="s">
        <v>438</v>
      </c>
      <c r="H56" s="20" t="s">
        <v>439</v>
      </c>
      <c r="I56" s="22"/>
      <c r="J56" s="21" t="s">
        <v>837</v>
      </c>
      <c r="K56" s="22" t="s">
        <v>33</v>
      </c>
      <c r="L56" s="22" t="s">
        <v>440</v>
      </c>
      <c r="M56" s="22" t="s">
        <v>35</v>
      </c>
      <c r="N56" s="22" t="s">
        <v>417</v>
      </c>
      <c r="O56" s="22" t="s">
        <v>35</v>
      </c>
      <c r="P56" s="22" t="s">
        <v>37</v>
      </c>
      <c r="Q56" s="22" t="s">
        <v>35</v>
      </c>
      <c r="R56" s="22" t="s">
        <v>38</v>
      </c>
      <c r="S56" s="22" t="s">
        <v>39</v>
      </c>
      <c r="T56" s="22" t="s">
        <v>40</v>
      </c>
      <c r="U56" s="22" t="s">
        <v>35</v>
      </c>
      <c r="V56" s="22" t="s">
        <v>41</v>
      </c>
    </row>
    <row r="57" spans="1:22" ht="42" customHeight="1" x14ac:dyDescent="0.2">
      <c r="A57" s="22"/>
      <c r="B57" s="22"/>
      <c r="C57" s="22"/>
      <c r="D57" s="20" t="s">
        <v>441</v>
      </c>
      <c r="E57" s="20" t="s">
        <v>442</v>
      </c>
      <c r="F57" s="20" t="s">
        <v>443</v>
      </c>
      <c r="G57" s="20" t="s">
        <v>444</v>
      </c>
      <c r="H57" s="20" t="s">
        <v>445</v>
      </c>
      <c r="I57" s="22"/>
      <c r="J57" s="21" t="s">
        <v>838</v>
      </c>
      <c r="K57" s="22" t="s">
        <v>33</v>
      </c>
      <c r="L57" s="22" t="s">
        <v>446</v>
      </c>
      <c r="M57" s="22" t="s">
        <v>35</v>
      </c>
      <c r="N57" s="22" t="s">
        <v>417</v>
      </c>
      <c r="O57" s="22" t="s">
        <v>35</v>
      </c>
      <c r="P57" s="22" t="s">
        <v>37</v>
      </c>
      <c r="Q57" s="22" t="s">
        <v>35</v>
      </c>
      <c r="R57" s="22" t="s">
        <v>38</v>
      </c>
      <c r="S57" s="22" t="s">
        <v>39</v>
      </c>
      <c r="T57" s="22" t="s">
        <v>40</v>
      </c>
      <c r="U57" s="22" t="s">
        <v>35</v>
      </c>
      <c r="V57" s="22" t="s">
        <v>41</v>
      </c>
    </row>
    <row r="58" spans="1:22" ht="42" customHeight="1" x14ac:dyDescent="0.2">
      <c r="A58" s="22"/>
      <c r="B58" s="22"/>
      <c r="C58" s="22"/>
      <c r="D58" s="20" t="s">
        <v>447</v>
      </c>
      <c r="E58" s="20" t="s">
        <v>448</v>
      </c>
      <c r="F58" s="20" t="s">
        <v>449</v>
      </c>
      <c r="G58" s="20" t="s">
        <v>450</v>
      </c>
      <c r="H58" s="20" t="s">
        <v>451</v>
      </c>
      <c r="I58" s="22"/>
      <c r="J58" s="21" t="s">
        <v>839</v>
      </c>
      <c r="K58" s="22" t="s">
        <v>33</v>
      </c>
      <c r="L58" s="22" t="s">
        <v>452</v>
      </c>
      <c r="M58" s="22" t="s">
        <v>35</v>
      </c>
      <c r="N58" s="22" t="s">
        <v>417</v>
      </c>
      <c r="O58" s="22" t="s">
        <v>35</v>
      </c>
      <c r="P58" s="22" t="s">
        <v>37</v>
      </c>
      <c r="Q58" s="22" t="s">
        <v>35</v>
      </c>
      <c r="R58" s="22" t="s">
        <v>38</v>
      </c>
      <c r="S58" s="22" t="s">
        <v>39</v>
      </c>
      <c r="T58" s="22" t="s">
        <v>40</v>
      </c>
      <c r="U58" s="22" t="s">
        <v>35</v>
      </c>
      <c r="V58" s="22" t="s">
        <v>41</v>
      </c>
    </row>
    <row r="59" spans="1:22" ht="42" customHeight="1" x14ac:dyDescent="0.2">
      <c r="A59" s="22"/>
      <c r="B59" s="22"/>
      <c r="C59" s="22"/>
      <c r="D59" s="20" t="s">
        <v>453</v>
      </c>
      <c r="E59" s="20" t="s">
        <v>454</v>
      </c>
      <c r="F59" s="20" t="s">
        <v>455</v>
      </c>
      <c r="G59" s="20" t="s">
        <v>456</v>
      </c>
      <c r="H59" s="20" t="s">
        <v>457</v>
      </c>
      <c r="I59" s="22"/>
      <c r="J59" s="21" t="s">
        <v>840</v>
      </c>
      <c r="K59" s="22" t="s">
        <v>33</v>
      </c>
      <c r="L59" s="22" t="s">
        <v>458</v>
      </c>
      <c r="M59" s="22" t="s">
        <v>35</v>
      </c>
      <c r="N59" s="22" t="s">
        <v>417</v>
      </c>
      <c r="O59" s="22" t="s">
        <v>35</v>
      </c>
      <c r="P59" s="22" t="s">
        <v>37</v>
      </c>
      <c r="Q59" s="22" t="s">
        <v>35</v>
      </c>
      <c r="R59" s="22" t="s">
        <v>38</v>
      </c>
      <c r="S59" s="22" t="s">
        <v>39</v>
      </c>
      <c r="T59" s="22" t="s">
        <v>40</v>
      </c>
      <c r="U59" s="22" t="s">
        <v>35</v>
      </c>
      <c r="V59" s="22" t="s">
        <v>41</v>
      </c>
    </row>
    <row r="60" spans="1:22" ht="42" customHeight="1" x14ac:dyDescent="0.2">
      <c r="A60" s="22"/>
      <c r="B60" s="22"/>
      <c r="C60" s="22"/>
      <c r="D60" s="20" t="s">
        <v>459</v>
      </c>
      <c r="E60" s="20" t="s">
        <v>460</v>
      </c>
      <c r="F60" s="20" t="s">
        <v>461</v>
      </c>
      <c r="G60" s="20" t="s">
        <v>462</v>
      </c>
      <c r="H60" s="20" t="s">
        <v>463</v>
      </c>
      <c r="I60" s="22"/>
      <c r="J60" s="21" t="s">
        <v>841</v>
      </c>
      <c r="K60" s="22" t="s">
        <v>33</v>
      </c>
      <c r="L60" s="22" t="s">
        <v>464</v>
      </c>
      <c r="M60" s="22" t="s">
        <v>35</v>
      </c>
      <c r="N60" s="22" t="s">
        <v>417</v>
      </c>
      <c r="O60" s="22" t="s">
        <v>35</v>
      </c>
      <c r="P60" s="22" t="s">
        <v>37</v>
      </c>
      <c r="Q60" s="22" t="s">
        <v>35</v>
      </c>
      <c r="R60" s="22" t="s">
        <v>38</v>
      </c>
      <c r="S60" s="22" t="s">
        <v>39</v>
      </c>
      <c r="T60" s="22" t="s">
        <v>40</v>
      </c>
      <c r="U60" s="22" t="s">
        <v>35</v>
      </c>
      <c r="V60" s="22" t="s">
        <v>41</v>
      </c>
    </row>
    <row r="61" spans="1:22" ht="42" customHeight="1" x14ac:dyDescent="0.2">
      <c r="A61" s="22"/>
      <c r="B61" s="22"/>
      <c r="C61" s="22"/>
      <c r="D61" s="20" t="s">
        <v>465</v>
      </c>
      <c r="E61" s="20" t="s">
        <v>466</v>
      </c>
      <c r="F61" s="20" t="s">
        <v>467</v>
      </c>
      <c r="G61" s="20" t="s">
        <v>468</v>
      </c>
      <c r="H61" s="20" t="s">
        <v>469</v>
      </c>
      <c r="I61" s="22"/>
      <c r="J61" s="21" t="s">
        <v>842</v>
      </c>
      <c r="K61" s="22" t="s">
        <v>33</v>
      </c>
      <c r="L61" s="22" t="s">
        <v>470</v>
      </c>
      <c r="M61" s="22" t="s">
        <v>35</v>
      </c>
      <c r="N61" s="22" t="s">
        <v>417</v>
      </c>
      <c r="O61" s="22" t="s">
        <v>35</v>
      </c>
      <c r="P61" s="22" t="s">
        <v>37</v>
      </c>
      <c r="Q61" s="22" t="s">
        <v>35</v>
      </c>
      <c r="R61" s="22" t="s">
        <v>38</v>
      </c>
      <c r="S61" s="22" t="s">
        <v>39</v>
      </c>
      <c r="T61" s="22" t="s">
        <v>40</v>
      </c>
      <c r="U61" s="22" t="s">
        <v>35</v>
      </c>
      <c r="V61" s="22" t="s">
        <v>41</v>
      </c>
    </row>
    <row r="62" spans="1:22" ht="42" customHeight="1" x14ac:dyDescent="0.2">
      <c r="A62" s="22"/>
      <c r="B62" s="22"/>
      <c r="C62" s="22"/>
      <c r="D62" s="20" t="s">
        <v>471</v>
      </c>
      <c r="E62" s="20" t="s">
        <v>472</v>
      </c>
      <c r="F62" s="20" t="s">
        <v>473</v>
      </c>
      <c r="G62" s="20" t="s">
        <v>474</v>
      </c>
      <c r="H62" s="20" t="s">
        <v>475</v>
      </c>
      <c r="I62" s="22"/>
      <c r="J62" s="21" t="s">
        <v>843</v>
      </c>
      <c r="K62" s="22" t="s">
        <v>33</v>
      </c>
      <c r="L62" s="22" t="s">
        <v>476</v>
      </c>
      <c r="M62" s="22" t="s">
        <v>35</v>
      </c>
      <c r="N62" s="22" t="s">
        <v>417</v>
      </c>
      <c r="O62" s="22" t="s">
        <v>35</v>
      </c>
      <c r="P62" s="22" t="s">
        <v>37</v>
      </c>
      <c r="Q62" s="22" t="s">
        <v>35</v>
      </c>
      <c r="R62" s="22" t="s">
        <v>38</v>
      </c>
      <c r="S62" s="22" t="s">
        <v>39</v>
      </c>
      <c r="T62" s="22" t="s">
        <v>40</v>
      </c>
      <c r="U62" s="22" t="s">
        <v>35</v>
      </c>
      <c r="V62" s="22" t="s">
        <v>41</v>
      </c>
    </row>
    <row r="63" spans="1:22" ht="42" customHeight="1" x14ac:dyDescent="0.2">
      <c r="A63" s="19" t="s">
        <v>477</v>
      </c>
      <c r="B63" s="19" t="s">
        <v>478</v>
      </c>
      <c r="C63" s="19" t="s">
        <v>479</v>
      </c>
      <c r="D63" s="20" t="s">
        <v>480</v>
      </c>
      <c r="E63" s="20" t="s">
        <v>481</v>
      </c>
      <c r="F63" s="20" t="s">
        <v>166</v>
      </c>
      <c r="G63" s="20" t="s">
        <v>482</v>
      </c>
      <c r="H63" s="20" t="s">
        <v>483</v>
      </c>
      <c r="I63" s="22"/>
      <c r="J63" s="21" t="s">
        <v>844</v>
      </c>
      <c r="K63" s="22" t="s">
        <v>33</v>
      </c>
      <c r="L63" s="22" t="s">
        <v>484</v>
      </c>
      <c r="M63" s="22" t="s">
        <v>35</v>
      </c>
      <c r="N63" s="22" t="s">
        <v>485</v>
      </c>
      <c r="O63" s="22" t="s">
        <v>35</v>
      </c>
      <c r="P63" s="22" t="s">
        <v>37</v>
      </c>
      <c r="Q63" s="22" t="s">
        <v>35</v>
      </c>
      <c r="R63" s="22" t="s">
        <v>38</v>
      </c>
      <c r="S63" s="22" t="s">
        <v>39</v>
      </c>
      <c r="T63" s="22" t="s">
        <v>40</v>
      </c>
      <c r="U63" s="22" t="s">
        <v>35</v>
      </c>
      <c r="V63" s="22" t="s">
        <v>41</v>
      </c>
    </row>
    <row r="64" spans="1:22" ht="42" customHeight="1" x14ac:dyDescent="0.2">
      <c r="A64" s="22"/>
      <c r="B64" s="22"/>
      <c r="C64" s="22"/>
      <c r="D64" s="20" t="s">
        <v>486</v>
      </c>
      <c r="E64" s="20" t="s">
        <v>487</v>
      </c>
      <c r="F64" s="20" t="s">
        <v>178</v>
      </c>
      <c r="G64" s="20" t="s">
        <v>179</v>
      </c>
      <c r="H64" s="20" t="s">
        <v>488</v>
      </c>
      <c r="I64" s="22"/>
      <c r="J64" s="21" t="s">
        <v>845</v>
      </c>
      <c r="K64" s="22" t="s">
        <v>33</v>
      </c>
      <c r="L64" s="22" t="s">
        <v>489</v>
      </c>
      <c r="M64" s="22" t="s">
        <v>35</v>
      </c>
      <c r="N64" s="22" t="s">
        <v>485</v>
      </c>
      <c r="O64" s="22" t="s">
        <v>35</v>
      </c>
      <c r="P64" s="22" t="s">
        <v>37</v>
      </c>
      <c r="Q64" s="22" t="s">
        <v>35</v>
      </c>
      <c r="R64" s="22" t="s">
        <v>38</v>
      </c>
      <c r="S64" s="22" t="s">
        <v>39</v>
      </c>
      <c r="T64" s="22" t="s">
        <v>40</v>
      </c>
      <c r="U64" s="22" t="s">
        <v>35</v>
      </c>
      <c r="V64" s="22" t="s">
        <v>41</v>
      </c>
    </row>
    <row r="65" spans="1:22" ht="42" customHeight="1" x14ac:dyDescent="0.2">
      <c r="A65" s="22"/>
      <c r="B65" s="22"/>
      <c r="C65" s="22"/>
      <c r="D65" s="20" t="s">
        <v>490</v>
      </c>
      <c r="E65" s="20" t="s">
        <v>491</v>
      </c>
      <c r="F65" s="20" t="s">
        <v>492</v>
      </c>
      <c r="G65" s="20" t="s">
        <v>493</v>
      </c>
      <c r="H65" s="20" t="s">
        <v>494</v>
      </c>
      <c r="I65" s="22"/>
      <c r="J65" s="21" t="s">
        <v>846</v>
      </c>
      <c r="K65" s="22" t="s">
        <v>33</v>
      </c>
      <c r="L65" s="22" t="s">
        <v>495</v>
      </c>
      <c r="M65" s="22" t="s">
        <v>35</v>
      </c>
      <c r="N65" s="22" t="s">
        <v>485</v>
      </c>
      <c r="O65" s="22" t="s">
        <v>35</v>
      </c>
      <c r="P65" s="22" t="s">
        <v>37</v>
      </c>
      <c r="Q65" s="22" t="s">
        <v>35</v>
      </c>
      <c r="R65" s="22" t="s">
        <v>38</v>
      </c>
      <c r="S65" s="22" t="s">
        <v>39</v>
      </c>
      <c r="T65" s="22" t="s">
        <v>40</v>
      </c>
      <c r="U65" s="22" t="s">
        <v>35</v>
      </c>
      <c r="V65" s="22" t="s">
        <v>41</v>
      </c>
    </row>
    <row r="66" spans="1:22" ht="42" customHeight="1" x14ac:dyDescent="0.2">
      <c r="A66" s="22"/>
      <c r="B66" s="22"/>
      <c r="C66" s="22"/>
      <c r="D66" s="20" t="s">
        <v>496</v>
      </c>
      <c r="E66" s="20" t="s">
        <v>497</v>
      </c>
      <c r="F66" s="20" t="s">
        <v>291</v>
      </c>
      <c r="G66" s="20" t="s">
        <v>240</v>
      </c>
      <c r="H66" s="20" t="s">
        <v>498</v>
      </c>
      <c r="I66" s="22"/>
      <c r="J66" s="21" t="s">
        <v>847</v>
      </c>
      <c r="K66" s="22" t="s">
        <v>33</v>
      </c>
      <c r="L66" s="22" t="s">
        <v>499</v>
      </c>
      <c r="M66" s="22" t="s">
        <v>55</v>
      </c>
      <c r="N66" s="22" t="s">
        <v>500</v>
      </c>
      <c r="O66" s="22" t="s">
        <v>35</v>
      </c>
      <c r="P66" s="22" t="s">
        <v>37</v>
      </c>
      <c r="Q66" s="22" t="s">
        <v>35</v>
      </c>
      <c r="R66" s="22" t="s">
        <v>38</v>
      </c>
      <c r="S66" s="22" t="s">
        <v>57</v>
      </c>
      <c r="T66" s="22" t="s">
        <v>501</v>
      </c>
      <c r="U66" s="22" t="s">
        <v>55</v>
      </c>
      <c r="V66" s="22" t="s">
        <v>502</v>
      </c>
    </row>
    <row r="67" spans="1:22" ht="42" customHeight="1" x14ac:dyDescent="0.2">
      <c r="A67" s="22"/>
      <c r="B67" s="22"/>
      <c r="C67" s="22"/>
      <c r="D67" s="20" t="s">
        <v>503</v>
      </c>
      <c r="E67" s="20" t="s">
        <v>504</v>
      </c>
      <c r="F67" s="20" t="s">
        <v>505</v>
      </c>
      <c r="G67" s="20" t="s">
        <v>228</v>
      </c>
      <c r="H67" s="20" t="s">
        <v>506</v>
      </c>
      <c r="I67" s="22"/>
      <c r="J67" s="21" t="s">
        <v>848</v>
      </c>
      <c r="K67" s="22" t="s">
        <v>33</v>
      </c>
      <c r="L67" s="22" t="s">
        <v>507</v>
      </c>
      <c r="M67" s="22" t="s">
        <v>35</v>
      </c>
      <c r="N67" s="22" t="s">
        <v>485</v>
      </c>
      <c r="O67" s="22" t="s">
        <v>35</v>
      </c>
      <c r="P67" s="22" t="s">
        <v>37</v>
      </c>
      <c r="Q67" s="22" t="s">
        <v>35</v>
      </c>
      <c r="R67" s="22" t="s">
        <v>38</v>
      </c>
      <c r="S67" s="22" t="s">
        <v>39</v>
      </c>
      <c r="T67" s="22" t="s">
        <v>40</v>
      </c>
      <c r="U67" s="22" t="s">
        <v>35</v>
      </c>
      <c r="V67" s="22" t="s">
        <v>41</v>
      </c>
    </row>
    <row r="68" spans="1:22" ht="42" customHeight="1" x14ac:dyDescent="0.2">
      <c r="A68" s="22"/>
      <c r="B68" s="22"/>
      <c r="C68" s="22"/>
      <c r="D68" s="20" t="s">
        <v>508</v>
      </c>
      <c r="E68" s="20" t="s">
        <v>509</v>
      </c>
      <c r="F68" s="20" t="s">
        <v>510</v>
      </c>
      <c r="G68" s="20" t="s">
        <v>511</v>
      </c>
      <c r="H68" s="20" t="s">
        <v>512</v>
      </c>
      <c r="I68" s="22"/>
      <c r="J68" s="21" t="s">
        <v>849</v>
      </c>
      <c r="K68" s="22" t="s">
        <v>53</v>
      </c>
      <c r="L68" s="22" t="s">
        <v>513</v>
      </c>
      <c r="M68" s="22" t="s">
        <v>55</v>
      </c>
      <c r="N68" s="22" t="s">
        <v>514</v>
      </c>
      <c r="O68" s="22" t="s">
        <v>35</v>
      </c>
      <c r="P68" s="22" t="s">
        <v>37</v>
      </c>
      <c r="Q68" s="22" t="s">
        <v>35</v>
      </c>
      <c r="R68" s="22" t="s">
        <v>38</v>
      </c>
      <c r="S68" s="22" t="s">
        <v>57</v>
      </c>
      <c r="T68" s="22" t="s">
        <v>515</v>
      </c>
      <c r="U68" s="22" t="s">
        <v>55</v>
      </c>
      <c r="V68" s="22" t="s">
        <v>516</v>
      </c>
    </row>
    <row r="69" spans="1:22" ht="42" customHeight="1" x14ac:dyDescent="0.2">
      <c r="A69" s="22"/>
      <c r="B69" s="22"/>
      <c r="C69" s="22"/>
      <c r="D69" s="20" t="s">
        <v>517</v>
      </c>
      <c r="E69" s="20" t="s">
        <v>518</v>
      </c>
      <c r="F69" s="20" t="s">
        <v>519</v>
      </c>
      <c r="G69" s="20" t="s">
        <v>520</v>
      </c>
      <c r="H69" s="20" t="s">
        <v>521</v>
      </c>
      <c r="I69" s="22"/>
      <c r="J69" s="21" t="s">
        <v>850</v>
      </c>
      <c r="K69" s="22" t="s">
        <v>33</v>
      </c>
      <c r="L69" s="22" t="s">
        <v>522</v>
      </c>
      <c r="M69" s="22" t="s">
        <v>35</v>
      </c>
      <c r="N69" s="22" t="s">
        <v>485</v>
      </c>
      <c r="O69" s="22" t="s">
        <v>35</v>
      </c>
      <c r="P69" s="22" t="s">
        <v>37</v>
      </c>
      <c r="Q69" s="22" t="s">
        <v>35</v>
      </c>
      <c r="R69" s="22" t="s">
        <v>38</v>
      </c>
      <c r="S69" s="22" t="s">
        <v>39</v>
      </c>
      <c r="T69" s="22" t="s">
        <v>40</v>
      </c>
      <c r="U69" s="22" t="s">
        <v>35</v>
      </c>
      <c r="V69" s="22" t="s">
        <v>41</v>
      </c>
    </row>
    <row r="70" spans="1:22" ht="42" customHeight="1" x14ac:dyDescent="0.2">
      <c r="A70" s="22"/>
      <c r="B70" s="22"/>
      <c r="C70" s="22"/>
      <c r="D70" s="20" t="s">
        <v>523</v>
      </c>
      <c r="E70" s="20" t="s">
        <v>524</v>
      </c>
      <c r="F70" s="20" t="s">
        <v>525</v>
      </c>
      <c r="G70" s="20" t="s">
        <v>526</v>
      </c>
      <c r="H70" s="20" t="s">
        <v>527</v>
      </c>
      <c r="I70" s="22"/>
      <c r="J70" s="21" t="s">
        <v>851</v>
      </c>
      <c r="K70" s="22" t="s">
        <v>33</v>
      </c>
      <c r="L70" s="22" t="s">
        <v>528</v>
      </c>
      <c r="M70" s="22" t="s">
        <v>35</v>
      </c>
      <c r="N70" s="22" t="s">
        <v>485</v>
      </c>
      <c r="O70" s="22" t="s">
        <v>35</v>
      </c>
      <c r="P70" s="22" t="s">
        <v>37</v>
      </c>
      <c r="Q70" s="22" t="s">
        <v>35</v>
      </c>
      <c r="R70" s="22" t="s">
        <v>38</v>
      </c>
      <c r="S70" s="22" t="s">
        <v>39</v>
      </c>
      <c r="T70" s="22" t="s">
        <v>40</v>
      </c>
      <c r="U70" s="22" t="s">
        <v>35</v>
      </c>
      <c r="V70" s="22" t="s">
        <v>41</v>
      </c>
    </row>
    <row r="71" spans="1:22" ht="42" customHeight="1" x14ac:dyDescent="0.2">
      <c r="A71" s="22"/>
      <c r="B71" s="22"/>
      <c r="C71" s="22"/>
      <c r="D71" s="20" t="s">
        <v>529</v>
      </c>
      <c r="E71" s="20" t="s">
        <v>530</v>
      </c>
      <c r="F71" s="20" t="s">
        <v>531</v>
      </c>
      <c r="G71" s="20" t="s">
        <v>532</v>
      </c>
      <c r="H71" s="20" t="s">
        <v>533</v>
      </c>
      <c r="I71" s="22"/>
      <c r="J71" s="21" t="s">
        <v>852</v>
      </c>
      <c r="K71" s="22" t="s">
        <v>33</v>
      </c>
      <c r="L71" s="22" t="s">
        <v>534</v>
      </c>
      <c r="M71" s="22" t="s">
        <v>35</v>
      </c>
      <c r="N71" s="22" t="s">
        <v>485</v>
      </c>
      <c r="O71" s="22" t="s">
        <v>35</v>
      </c>
      <c r="P71" s="22" t="s">
        <v>37</v>
      </c>
      <c r="Q71" s="22" t="s">
        <v>35</v>
      </c>
      <c r="R71" s="22" t="s">
        <v>38</v>
      </c>
      <c r="S71" s="22" t="s">
        <v>39</v>
      </c>
      <c r="T71" s="22" t="s">
        <v>40</v>
      </c>
      <c r="U71" s="22" t="s">
        <v>35</v>
      </c>
      <c r="V71" s="22" t="s">
        <v>41</v>
      </c>
    </row>
    <row r="72" spans="1:22" ht="42" customHeight="1" x14ac:dyDescent="0.2">
      <c r="A72" s="22"/>
      <c r="B72" s="22"/>
      <c r="C72" s="22"/>
      <c r="D72" s="20" t="s">
        <v>535</v>
      </c>
      <c r="E72" s="20" t="s">
        <v>536</v>
      </c>
      <c r="F72" s="20" t="s">
        <v>537</v>
      </c>
      <c r="G72" s="20" t="s">
        <v>538</v>
      </c>
      <c r="H72" s="20" t="s">
        <v>539</v>
      </c>
      <c r="I72" s="22"/>
      <c r="J72" s="21" t="s">
        <v>853</v>
      </c>
      <c r="K72" s="22" t="s">
        <v>33</v>
      </c>
      <c r="L72" s="22" t="s">
        <v>540</v>
      </c>
      <c r="M72" s="22" t="s">
        <v>35</v>
      </c>
      <c r="N72" s="22" t="s">
        <v>485</v>
      </c>
      <c r="O72" s="22" t="s">
        <v>35</v>
      </c>
      <c r="P72" s="22" t="s">
        <v>37</v>
      </c>
      <c r="Q72" s="22" t="s">
        <v>35</v>
      </c>
      <c r="R72" s="22" t="s">
        <v>38</v>
      </c>
      <c r="S72" s="22" t="s">
        <v>39</v>
      </c>
      <c r="T72" s="22" t="s">
        <v>40</v>
      </c>
      <c r="U72" s="22" t="s">
        <v>35</v>
      </c>
      <c r="V72" s="22" t="s">
        <v>41</v>
      </c>
    </row>
    <row r="73" spans="1:22" ht="42" customHeight="1" x14ac:dyDescent="0.2">
      <c r="A73" s="19" t="s">
        <v>541</v>
      </c>
      <c r="B73" s="19" t="s">
        <v>542</v>
      </c>
      <c r="C73" s="19" t="s">
        <v>543</v>
      </c>
      <c r="D73" s="20" t="s">
        <v>544</v>
      </c>
      <c r="E73" s="20" t="s">
        <v>545</v>
      </c>
      <c r="F73" s="20" t="s">
        <v>233</v>
      </c>
      <c r="G73" s="20" t="s">
        <v>234</v>
      </c>
      <c r="H73" s="20" t="s">
        <v>546</v>
      </c>
      <c r="I73" s="22"/>
      <c r="J73" s="21" t="s">
        <v>854</v>
      </c>
      <c r="K73" s="22" t="s">
        <v>33</v>
      </c>
      <c r="L73" s="22" t="s">
        <v>547</v>
      </c>
      <c r="M73" s="22" t="s">
        <v>35</v>
      </c>
      <c r="N73" s="22" t="s">
        <v>548</v>
      </c>
      <c r="O73" s="22" t="s">
        <v>35</v>
      </c>
      <c r="P73" s="22" t="s">
        <v>37</v>
      </c>
      <c r="Q73" s="22" t="s">
        <v>35</v>
      </c>
      <c r="R73" s="22" t="s">
        <v>38</v>
      </c>
      <c r="S73" s="22" t="s">
        <v>39</v>
      </c>
      <c r="T73" s="22" t="s">
        <v>40</v>
      </c>
      <c r="U73" s="22" t="s">
        <v>35</v>
      </c>
      <c r="V73" s="22" t="s">
        <v>41</v>
      </c>
    </row>
    <row r="74" spans="1:22" ht="42" customHeight="1" x14ac:dyDescent="0.2">
      <c r="A74" s="22"/>
      <c r="B74" s="22"/>
      <c r="C74" s="22"/>
      <c r="D74" s="20" t="s">
        <v>549</v>
      </c>
      <c r="E74" s="20" t="s">
        <v>550</v>
      </c>
      <c r="F74" s="20" t="s">
        <v>551</v>
      </c>
      <c r="G74" s="20" t="s">
        <v>552</v>
      </c>
      <c r="H74" s="20" t="s">
        <v>553</v>
      </c>
      <c r="I74" s="22"/>
      <c r="J74" s="21" t="s">
        <v>855</v>
      </c>
      <c r="K74" s="22" t="s">
        <v>33</v>
      </c>
      <c r="L74" s="22" t="s">
        <v>554</v>
      </c>
      <c r="M74" s="22" t="s">
        <v>35</v>
      </c>
      <c r="N74" s="22" t="s">
        <v>548</v>
      </c>
      <c r="O74" s="22" t="s">
        <v>35</v>
      </c>
      <c r="P74" s="22" t="s">
        <v>37</v>
      </c>
      <c r="Q74" s="22" t="s">
        <v>35</v>
      </c>
      <c r="R74" s="22" t="s">
        <v>38</v>
      </c>
      <c r="S74" s="22" t="s">
        <v>39</v>
      </c>
      <c r="T74" s="22" t="s">
        <v>40</v>
      </c>
      <c r="U74" s="22" t="s">
        <v>35</v>
      </c>
      <c r="V74" s="22" t="s">
        <v>41</v>
      </c>
    </row>
    <row r="75" spans="1:22" ht="42" customHeight="1" x14ac:dyDescent="0.2">
      <c r="A75" s="22"/>
      <c r="B75" s="22"/>
      <c r="C75" s="22"/>
      <c r="D75" s="20" t="s">
        <v>555</v>
      </c>
      <c r="E75" s="20" t="s">
        <v>556</v>
      </c>
      <c r="F75" s="20" t="s">
        <v>209</v>
      </c>
      <c r="G75" s="20" t="s">
        <v>210</v>
      </c>
      <c r="H75" s="20" t="s">
        <v>557</v>
      </c>
      <c r="I75" s="22"/>
      <c r="J75" s="21" t="s">
        <v>856</v>
      </c>
      <c r="K75" s="22" t="s">
        <v>33</v>
      </c>
      <c r="L75" s="22" t="s">
        <v>558</v>
      </c>
      <c r="M75" s="22" t="s">
        <v>55</v>
      </c>
      <c r="N75" s="22" t="s">
        <v>559</v>
      </c>
      <c r="O75" s="22" t="s">
        <v>35</v>
      </c>
      <c r="P75" s="22" t="s">
        <v>37</v>
      </c>
      <c r="Q75" s="22" t="s">
        <v>35</v>
      </c>
      <c r="R75" s="22" t="s">
        <v>38</v>
      </c>
      <c r="S75" s="22" t="s">
        <v>39</v>
      </c>
      <c r="T75" s="22" t="s">
        <v>560</v>
      </c>
      <c r="U75" s="22" t="s">
        <v>55</v>
      </c>
      <c r="V75" s="22" t="s">
        <v>561</v>
      </c>
    </row>
    <row r="76" spans="1:22" ht="42" customHeight="1" x14ac:dyDescent="0.2">
      <c r="A76" s="22"/>
      <c r="B76" s="22"/>
      <c r="C76" s="22"/>
      <c r="D76" s="20" t="s">
        <v>562</v>
      </c>
      <c r="E76" s="20" t="s">
        <v>563</v>
      </c>
      <c r="F76" s="20" t="s">
        <v>564</v>
      </c>
      <c r="G76" s="20" t="s">
        <v>565</v>
      </c>
      <c r="H76" s="20" t="s">
        <v>566</v>
      </c>
      <c r="I76" s="22"/>
      <c r="J76" s="21" t="s">
        <v>857</v>
      </c>
      <c r="K76" s="22" t="s">
        <v>33</v>
      </c>
      <c r="L76" s="22" t="s">
        <v>567</v>
      </c>
      <c r="M76" s="22" t="s">
        <v>35</v>
      </c>
      <c r="N76" s="22" t="s">
        <v>548</v>
      </c>
      <c r="O76" s="22" t="s">
        <v>35</v>
      </c>
      <c r="P76" s="22" t="s">
        <v>37</v>
      </c>
      <c r="Q76" s="22" t="s">
        <v>35</v>
      </c>
      <c r="R76" s="22" t="s">
        <v>38</v>
      </c>
      <c r="S76" s="22" t="s">
        <v>39</v>
      </c>
      <c r="T76" s="22" t="s">
        <v>40</v>
      </c>
      <c r="U76" s="22" t="s">
        <v>35</v>
      </c>
      <c r="V76" s="22" t="s">
        <v>41</v>
      </c>
    </row>
    <row r="77" spans="1:22" ht="42" customHeight="1" x14ac:dyDescent="0.2">
      <c r="A77" s="22"/>
      <c r="B77" s="22"/>
      <c r="C77" s="22"/>
      <c r="D77" s="20" t="s">
        <v>568</v>
      </c>
      <c r="E77" s="20" t="s">
        <v>569</v>
      </c>
      <c r="F77" s="20" t="s">
        <v>570</v>
      </c>
      <c r="G77" s="20" t="s">
        <v>571</v>
      </c>
      <c r="H77" s="20" t="s">
        <v>572</v>
      </c>
      <c r="I77" s="22"/>
      <c r="J77" s="21" t="s">
        <v>858</v>
      </c>
      <c r="K77" s="22" t="s">
        <v>33</v>
      </c>
      <c r="L77" s="22" t="s">
        <v>573</v>
      </c>
      <c r="M77" s="22" t="s">
        <v>35</v>
      </c>
      <c r="N77" s="22" t="s">
        <v>548</v>
      </c>
      <c r="O77" s="22" t="s">
        <v>35</v>
      </c>
      <c r="P77" s="22" t="s">
        <v>37</v>
      </c>
      <c r="Q77" s="22" t="s">
        <v>35</v>
      </c>
      <c r="R77" s="22" t="s">
        <v>38</v>
      </c>
      <c r="S77" s="22" t="s">
        <v>39</v>
      </c>
      <c r="T77" s="22" t="s">
        <v>40</v>
      </c>
      <c r="U77" s="22" t="s">
        <v>35</v>
      </c>
      <c r="V77" s="22" t="s">
        <v>41</v>
      </c>
    </row>
    <row r="78" spans="1:22" ht="42" customHeight="1" x14ac:dyDescent="0.2">
      <c r="A78" s="22"/>
      <c r="B78" s="22"/>
      <c r="C78" s="22"/>
      <c r="D78" s="20" t="s">
        <v>574</v>
      </c>
      <c r="E78" s="20" t="s">
        <v>575</v>
      </c>
      <c r="F78" s="20" t="s">
        <v>576</v>
      </c>
      <c r="G78" s="20" t="s">
        <v>577</v>
      </c>
      <c r="H78" s="20" t="s">
        <v>578</v>
      </c>
      <c r="I78" s="22"/>
      <c r="J78" s="21" t="s">
        <v>859</v>
      </c>
      <c r="K78" s="22" t="s">
        <v>33</v>
      </c>
      <c r="L78" s="22" t="s">
        <v>579</v>
      </c>
      <c r="M78" s="22" t="s">
        <v>35</v>
      </c>
      <c r="N78" s="22" t="s">
        <v>548</v>
      </c>
      <c r="O78" s="22" t="s">
        <v>35</v>
      </c>
      <c r="P78" s="22" t="s">
        <v>37</v>
      </c>
      <c r="Q78" s="22" t="s">
        <v>35</v>
      </c>
      <c r="R78" s="22" t="s">
        <v>38</v>
      </c>
      <c r="S78" s="22" t="s">
        <v>39</v>
      </c>
      <c r="T78" s="22" t="s">
        <v>40</v>
      </c>
      <c r="U78" s="22" t="s">
        <v>35</v>
      </c>
      <c r="V78" s="22" t="s">
        <v>41</v>
      </c>
    </row>
    <row r="79" spans="1:22" ht="42" customHeight="1" x14ac:dyDescent="0.2">
      <c r="A79" s="22"/>
      <c r="B79" s="22"/>
      <c r="C79" s="22"/>
      <c r="D79" s="20" t="s">
        <v>580</v>
      </c>
      <c r="E79" s="20" t="s">
        <v>581</v>
      </c>
      <c r="F79" s="20" t="s">
        <v>582</v>
      </c>
      <c r="G79" s="20" t="s">
        <v>583</v>
      </c>
      <c r="H79" s="20" t="s">
        <v>584</v>
      </c>
      <c r="I79" s="22"/>
      <c r="J79" s="21" t="s">
        <v>860</v>
      </c>
      <c r="K79" s="22" t="s">
        <v>33</v>
      </c>
      <c r="L79" s="22" t="s">
        <v>585</v>
      </c>
      <c r="M79" s="22" t="s">
        <v>55</v>
      </c>
      <c r="N79" s="22" t="s">
        <v>586</v>
      </c>
      <c r="O79" s="22" t="s">
        <v>35</v>
      </c>
      <c r="P79" s="22" t="s">
        <v>37</v>
      </c>
      <c r="Q79" s="22" t="s">
        <v>35</v>
      </c>
      <c r="R79" s="22" t="s">
        <v>38</v>
      </c>
      <c r="S79" s="22" t="s">
        <v>57</v>
      </c>
      <c r="T79" s="22" t="s">
        <v>587</v>
      </c>
      <c r="U79" s="22" t="s">
        <v>55</v>
      </c>
      <c r="V79" s="22" t="s">
        <v>588</v>
      </c>
    </row>
    <row r="80" spans="1:22" ht="42" customHeight="1" x14ac:dyDescent="0.2">
      <c r="A80" s="22"/>
      <c r="B80" s="22"/>
      <c r="C80" s="22"/>
      <c r="D80" s="20" t="s">
        <v>589</v>
      </c>
      <c r="E80" s="20" t="s">
        <v>590</v>
      </c>
      <c r="F80" s="20" t="s">
        <v>591</v>
      </c>
      <c r="G80" s="20" t="s">
        <v>592</v>
      </c>
      <c r="H80" s="20" t="s">
        <v>593</v>
      </c>
      <c r="I80" s="22"/>
      <c r="J80" s="21" t="s">
        <v>861</v>
      </c>
      <c r="K80" s="22" t="s">
        <v>33</v>
      </c>
      <c r="L80" s="22" t="s">
        <v>594</v>
      </c>
      <c r="M80" s="22" t="s">
        <v>35</v>
      </c>
      <c r="N80" s="22" t="s">
        <v>548</v>
      </c>
      <c r="O80" s="22" t="s">
        <v>35</v>
      </c>
      <c r="P80" s="22" t="s">
        <v>37</v>
      </c>
      <c r="Q80" s="22" t="s">
        <v>35</v>
      </c>
      <c r="R80" s="22" t="s">
        <v>38</v>
      </c>
      <c r="S80" s="22" t="s">
        <v>39</v>
      </c>
      <c r="T80" s="22" t="s">
        <v>40</v>
      </c>
      <c r="U80" s="22" t="s">
        <v>35</v>
      </c>
      <c r="V80" s="22" t="s">
        <v>41</v>
      </c>
    </row>
    <row r="81" spans="1:22" ht="42" customHeight="1" x14ac:dyDescent="0.2">
      <c r="A81" s="22"/>
      <c r="B81" s="22"/>
      <c r="C81" s="22"/>
      <c r="D81" s="20" t="s">
        <v>595</v>
      </c>
      <c r="E81" s="20" t="s">
        <v>596</v>
      </c>
      <c r="F81" s="20" t="s">
        <v>597</v>
      </c>
      <c r="G81" s="20" t="s">
        <v>598</v>
      </c>
      <c r="H81" s="20" t="s">
        <v>599</v>
      </c>
      <c r="I81" s="22"/>
      <c r="J81" s="21" t="s">
        <v>862</v>
      </c>
      <c r="K81" s="22" t="s">
        <v>33</v>
      </c>
      <c r="L81" s="22" t="s">
        <v>600</v>
      </c>
      <c r="M81" s="22" t="s">
        <v>55</v>
      </c>
      <c r="N81" s="22" t="s">
        <v>601</v>
      </c>
      <c r="O81" s="22" t="s">
        <v>35</v>
      </c>
      <c r="P81" s="22" t="s">
        <v>37</v>
      </c>
      <c r="Q81" s="22" t="s">
        <v>35</v>
      </c>
      <c r="R81" s="22" t="s">
        <v>38</v>
      </c>
      <c r="S81" s="22" t="s">
        <v>57</v>
      </c>
      <c r="T81" s="22" t="s">
        <v>602</v>
      </c>
      <c r="U81" s="22" t="s">
        <v>55</v>
      </c>
      <c r="V81" s="22" t="s">
        <v>603</v>
      </c>
    </row>
    <row r="82" spans="1:22" ht="42" customHeight="1" x14ac:dyDescent="0.2">
      <c r="A82" s="22"/>
      <c r="B82" s="22"/>
      <c r="C82" s="22"/>
      <c r="D82" s="20" t="s">
        <v>604</v>
      </c>
      <c r="E82" s="20" t="s">
        <v>605</v>
      </c>
      <c r="F82" s="20" t="s">
        <v>606</v>
      </c>
      <c r="G82" s="20" t="s">
        <v>607</v>
      </c>
      <c r="H82" s="20" t="s">
        <v>608</v>
      </c>
      <c r="I82" s="22"/>
      <c r="J82" s="21" t="s">
        <v>863</v>
      </c>
      <c r="K82" s="22" t="s">
        <v>33</v>
      </c>
      <c r="L82" s="22" t="s">
        <v>609</v>
      </c>
      <c r="M82" s="22" t="s">
        <v>35</v>
      </c>
      <c r="N82" s="22" t="s">
        <v>548</v>
      </c>
      <c r="O82" s="22" t="s">
        <v>35</v>
      </c>
      <c r="P82" s="22" t="s">
        <v>37</v>
      </c>
      <c r="Q82" s="22" t="s">
        <v>35</v>
      </c>
      <c r="R82" s="22" t="s">
        <v>38</v>
      </c>
      <c r="S82" s="22" t="s">
        <v>39</v>
      </c>
      <c r="T82" s="22" t="s">
        <v>40</v>
      </c>
      <c r="U82" s="22" t="s">
        <v>35</v>
      </c>
      <c r="V82" s="22" t="s">
        <v>41</v>
      </c>
    </row>
    <row r="83" spans="1:22" ht="42" customHeight="1" x14ac:dyDescent="0.2">
      <c r="A83" s="19" t="s">
        <v>610</v>
      </c>
      <c r="B83" s="19" t="s">
        <v>611</v>
      </c>
      <c r="C83" s="19" t="s">
        <v>612</v>
      </c>
      <c r="D83" s="20" t="s">
        <v>613</v>
      </c>
      <c r="E83" s="20" t="s">
        <v>614</v>
      </c>
      <c r="F83" s="20" t="s">
        <v>62</v>
      </c>
      <c r="G83" s="20" t="s">
        <v>63</v>
      </c>
      <c r="H83" s="20" t="s">
        <v>615</v>
      </c>
      <c r="I83" s="22"/>
      <c r="J83" s="21" t="s">
        <v>864</v>
      </c>
      <c r="K83" s="22" t="s">
        <v>33</v>
      </c>
      <c r="L83" s="22" t="s">
        <v>616</v>
      </c>
      <c r="M83" s="22" t="s">
        <v>55</v>
      </c>
      <c r="N83" s="22" t="s">
        <v>617</v>
      </c>
      <c r="O83" s="22" t="s">
        <v>35</v>
      </c>
      <c r="P83" s="22" t="s">
        <v>37</v>
      </c>
      <c r="Q83" s="22" t="s">
        <v>55</v>
      </c>
      <c r="R83" s="22" t="s">
        <v>67</v>
      </c>
      <c r="S83" s="22" t="s">
        <v>57</v>
      </c>
      <c r="T83" s="22" t="s">
        <v>618</v>
      </c>
      <c r="U83" s="22" t="s">
        <v>55</v>
      </c>
      <c r="V83" s="22" t="s">
        <v>619</v>
      </c>
    </row>
    <row r="84" spans="1:22" ht="42" customHeight="1" x14ac:dyDescent="0.2">
      <c r="A84" s="22"/>
      <c r="B84" s="22"/>
      <c r="C84" s="22"/>
      <c r="D84" s="20" t="s">
        <v>620</v>
      </c>
      <c r="E84" s="20" t="s">
        <v>621</v>
      </c>
      <c r="F84" s="20" t="s">
        <v>622</v>
      </c>
      <c r="G84" s="20" t="s">
        <v>623</v>
      </c>
      <c r="H84" s="20" t="s">
        <v>624</v>
      </c>
      <c r="I84" s="22"/>
      <c r="J84" s="21" t="s">
        <v>865</v>
      </c>
      <c r="K84" s="22" t="s">
        <v>33</v>
      </c>
      <c r="L84" s="22" t="s">
        <v>625</v>
      </c>
      <c r="M84" s="22" t="s">
        <v>55</v>
      </c>
      <c r="N84" s="22" t="s">
        <v>626</v>
      </c>
      <c r="O84" s="22" t="s">
        <v>35</v>
      </c>
      <c r="P84" s="22" t="s">
        <v>37</v>
      </c>
      <c r="Q84" s="22" t="s">
        <v>55</v>
      </c>
      <c r="R84" s="22" t="s">
        <v>67</v>
      </c>
      <c r="S84" s="22" t="s">
        <v>57</v>
      </c>
      <c r="T84" s="22" t="s">
        <v>627</v>
      </c>
      <c r="U84" s="22" t="s">
        <v>55</v>
      </c>
      <c r="V84" s="22" t="s">
        <v>628</v>
      </c>
    </row>
    <row r="85" spans="1:22" ht="42" customHeight="1" x14ac:dyDescent="0.2">
      <c r="A85" s="22"/>
      <c r="B85" s="22"/>
      <c r="C85" s="22"/>
      <c r="D85" s="20" t="s">
        <v>629</v>
      </c>
      <c r="E85" s="20" t="s">
        <v>630</v>
      </c>
      <c r="F85" s="20" t="s">
        <v>631</v>
      </c>
      <c r="G85" s="20" t="s">
        <v>632</v>
      </c>
      <c r="H85" s="20" t="s">
        <v>633</v>
      </c>
      <c r="I85" s="22"/>
      <c r="J85" s="21" t="s">
        <v>866</v>
      </c>
      <c r="K85" s="22" t="s">
        <v>53</v>
      </c>
      <c r="L85" s="22" t="s">
        <v>634</v>
      </c>
      <c r="M85" s="22" t="s">
        <v>55</v>
      </c>
      <c r="N85" s="22" t="s">
        <v>635</v>
      </c>
      <c r="O85" s="22" t="s">
        <v>35</v>
      </c>
      <c r="P85" s="22" t="s">
        <v>37</v>
      </c>
      <c r="Q85" s="22" t="s">
        <v>35</v>
      </c>
      <c r="R85" s="22" t="s">
        <v>38</v>
      </c>
      <c r="S85" s="22" t="s">
        <v>57</v>
      </c>
      <c r="T85" s="22" t="s">
        <v>636</v>
      </c>
      <c r="U85" s="22" t="s">
        <v>55</v>
      </c>
      <c r="V85" s="22" t="s">
        <v>637</v>
      </c>
    </row>
    <row r="86" spans="1:22" ht="42" customHeight="1" x14ac:dyDescent="0.2">
      <c r="A86" s="22"/>
      <c r="B86" s="22"/>
      <c r="C86" s="22"/>
      <c r="D86" s="20" t="s">
        <v>638</v>
      </c>
      <c r="E86" s="20" t="s">
        <v>639</v>
      </c>
      <c r="F86" s="20" t="s">
        <v>640</v>
      </c>
      <c r="G86" s="20" t="s">
        <v>641</v>
      </c>
      <c r="H86" s="20" t="s">
        <v>642</v>
      </c>
      <c r="I86" s="22"/>
      <c r="J86" s="21" t="s">
        <v>867</v>
      </c>
      <c r="K86" s="22" t="s">
        <v>33</v>
      </c>
      <c r="L86" s="22" t="s">
        <v>643</v>
      </c>
      <c r="M86" s="22" t="s">
        <v>35</v>
      </c>
      <c r="N86" s="22" t="s">
        <v>644</v>
      </c>
      <c r="O86" s="22" t="s">
        <v>35</v>
      </c>
      <c r="P86" s="22" t="s">
        <v>37</v>
      </c>
      <c r="Q86" s="22" t="s">
        <v>35</v>
      </c>
      <c r="R86" s="22" t="s">
        <v>38</v>
      </c>
      <c r="S86" s="22" t="s">
        <v>39</v>
      </c>
      <c r="T86" s="22" t="s">
        <v>40</v>
      </c>
      <c r="U86" s="22" t="s">
        <v>35</v>
      </c>
      <c r="V86" s="22" t="s">
        <v>41</v>
      </c>
    </row>
    <row r="87" spans="1:22" ht="42" customHeight="1" x14ac:dyDescent="0.2">
      <c r="A87" s="22"/>
      <c r="B87" s="22"/>
      <c r="C87" s="22"/>
      <c r="D87" s="20" t="s">
        <v>645</v>
      </c>
      <c r="E87" s="20" t="s">
        <v>646</v>
      </c>
      <c r="F87" s="20" t="s">
        <v>178</v>
      </c>
      <c r="G87" s="20" t="s">
        <v>647</v>
      </c>
      <c r="H87" s="20" t="s">
        <v>648</v>
      </c>
      <c r="I87" s="22"/>
      <c r="J87" s="21" t="s">
        <v>868</v>
      </c>
      <c r="K87" s="22" t="s">
        <v>33</v>
      </c>
      <c r="L87" s="22" t="s">
        <v>649</v>
      </c>
      <c r="M87" s="22" t="s">
        <v>55</v>
      </c>
      <c r="N87" s="22" t="s">
        <v>650</v>
      </c>
      <c r="O87" s="22" t="s">
        <v>35</v>
      </c>
      <c r="P87" s="22" t="s">
        <v>37</v>
      </c>
      <c r="Q87" s="22" t="s">
        <v>35</v>
      </c>
      <c r="R87" s="22" t="s">
        <v>38</v>
      </c>
      <c r="S87" s="22" t="s">
        <v>57</v>
      </c>
      <c r="T87" s="22" t="s">
        <v>651</v>
      </c>
      <c r="U87" s="22" t="s">
        <v>55</v>
      </c>
      <c r="V87" s="22" t="s">
        <v>652</v>
      </c>
    </row>
    <row r="88" spans="1:22" ht="42" customHeight="1" x14ac:dyDescent="0.2">
      <c r="A88" s="22"/>
      <c r="B88" s="22"/>
      <c r="C88" s="22"/>
      <c r="D88" s="20" t="s">
        <v>653</v>
      </c>
      <c r="E88" s="20" t="s">
        <v>654</v>
      </c>
      <c r="F88" s="20" t="s">
        <v>655</v>
      </c>
      <c r="G88" s="20" t="s">
        <v>656</v>
      </c>
      <c r="H88" s="20" t="s">
        <v>657</v>
      </c>
      <c r="I88" s="22"/>
      <c r="J88" s="21" t="s">
        <v>869</v>
      </c>
      <c r="K88" s="22" t="s">
        <v>33</v>
      </c>
      <c r="L88" s="22" t="s">
        <v>658</v>
      </c>
      <c r="M88" s="22" t="s">
        <v>55</v>
      </c>
      <c r="N88" s="22" t="s">
        <v>659</v>
      </c>
      <c r="O88" s="22" t="s">
        <v>35</v>
      </c>
      <c r="P88" s="22" t="s">
        <v>37</v>
      </c>
      <c r="Q88" s="22" t="s">
        <v>35</v>
      </c>
      <c r="R88" s="22" t="s">
        <v>38</v>
      </c>
      <c r="S88" s="22" t="s">
        <v>57</v>
      </c>
      <c r="T88" s="22" t="s">
        <v>660</v>
      </c>
      <c r="U88" s="22" t="s">
        <v>55</v>
      </c>
      <c r="V88" s="22" t="s">
        <v>661</v>
      </c>
    </row>
    <row r="89" spans="1:22" ht="42" customHeight="1" x14ac:dyDescent="0.2">
      <c r="A89" s="22"/>
      <c r="B89" s="22"/>
      <c r="C89" s="22"/>
      <c r="D89" s="20" t="s">
        <v>662</v>
      </c>
      <c r="E89" s="20" t="s">
        <v>663</v>
      </c>
      <c r="F89" s="20" t="s">
        <v>664</v>
      </c>
      <c r="G89" s="20" t="s">
        <v>665</v>
      </c>
      <c r="H89" s="20" t="s">
        <v>666</v>
      </c>
      <c r="I89" s="22"/>
      <c r="J89" s="21" t="s">
        <v>870</v>
      </c>
      <c r="K89" s="22" t="s">
        <v>33</v>
      </c>
      <c r="L89" s="22" t="s">
        <v>667</v>
      </c>
      <c r="M89" s="22" t="s">
        <v>35</v>
      </c>
      <c r="N89" s="22" t="s">
        <v>644</v>
      </c>
      <c r="O89" s="22" t="s">
        <v>35</v>
      </c>
      <c r="P89" s="22" t="s">
        <v>37</v>
      </c>
      <c r="Q89" s="22" t="s">
        <v>35</v>
      </c>
      <c r="R89" s="22" t="s">
        <v>38</v>
      </c>
      <c r="S89" s="22" t="s">
        <v>39</v>
      </c>
      <c r="T89" s="22" t="s">
        <v>40</v>
      </c>
      <c r="U89" s="22" t="s">
        <v>35</v>
      </c>
      <c r="V89" s="22" t="s">
        <v>41</v>
      </c>
    </row>
    <row r="90" spans="1:22" ht="42" customHeight="1" x14ac:dyDescent="0.2">
      <c r="A90" s="22"/>
      <c r="B90" s="22"/>
      <c r="C90" s="22"/>
      <c r="D90" s="20" t="s">
        <v>668</v>
      </c>
      <c r="E90" s="20" t="s">
        <v>669</v>
      </c>
      <c r="F90" s="20" t="s">
        <v>670</v>
      </c>
      <c r="G90" s="20" t="s">
        <v>671</v>
      </c>
      <c r="H90" s="20" t="s">
        <v>672</v>
      </c>
      <c r="I90" s="22"/>
      <c r="J90" s="21" t="s">
        <v>871</v>
      </c>
      <c r="K90" s="22" t="s">
        <v>33</v>
      </c>
      <c r="L90" s="22" t="s">
        <v>673</v>
      </c>
      <c r="M90" s="22" t="s">
        <v>35</v>
      </c>
      <c r="N90" s="22" t="s">
        <v>644</v>
      </c>
      <c r="O90" s="22" t="s">
        <v>35</v>
      </c>
      <c r="P90" s="22" t="s">
        <v>37</v>
      </c>
      <c r="Q90" s="22" t="s">
        <v>35</v>
      </c>
      <c r="R90" s="22" t="s">
        <v>38</v>
      </c>
      <c r="S90" s="22" t="s">
        <v>39</v>
      </c>
      <c r="T90" s="22" t="s">
        <v>40</v>
      </c>
      <c r="U90" s="22" t="s">
        <v>35</v>
      </c>
      <c r="V90" s="22" t="s">
        <v>41</v>
      </c>
    </row>
    <row r="91" spans="1:22" ht="42" customHeight="1" x14ac:dyDescent="0.2">
      <c r="A91" s="25"/>
      <c r="B91" s="25"/>
      <c r="C91" s="25"/>
      <c r="D91" s="24" t="s">
        <v>674</v>
      </c>
      <c r="E91" s="24" t="s">
        <v>675</v>
      </c>
      <c r="F91" s="24" t="s">
        <v>676</v>
      </c>
      <c r="G91" s="24" t="s">
        <v>677</v>
      </c>
      <c r="H91" s="24" t="s">
        <v>678</v>
      </c>
      <c r="I91" s="25"/>
      <c r="J91" s="21" t="s">
        <v>872</v>
      </c>
      <c r="K91" s="25" t="s">
        <v>33</v>
      </c>
      <c r="L91" s="25" t="s">
        <v>679</v>
      </c>
      <c r="M91" s="25" t="s">
        <v>55</v>
      </c>
      <c r="N91" s="25" t="s">
        <v>680</v>
      </c>
      <c r="O91" s="25" t="s">
        <v>35</v>
      </c>
      <c r="P91" s="25" t="s">
        <v>37</v>
      </c>
      <c r="Q91" s="25" t="s">
        <v>35</v>
      </c>
      <c r="R91" s="25" t="s">
        <v>38</v>
      </c>
      <c r="S91" s="25" t="s">
        <v>57</v>
      </c>
      <c r="T91" s="25" t="s">
        <v>681</v>
      </c>
      <c r="U91" s="25" t="s">
        <v>55</v>
      </c>
      <c r="V91" s="25" t="s">
        <v>682</v>
      </c>
    </row>
    <row r="92" spans="1:22" ht="42" customHeight="1" x14ac:dyDescent="0.2">
      <c r="A92" s="26"/>
      <c r="B92" s="26"/>
      <c r="C92" s="26"/>
      <c r="D92" s="27" t="s">
        <v>683</v>
      </c>
      <c r="E92" s="27" t="s">
        <v>684</v>
      </c>
      <c r="F92" s="30" t="s">
        <v>918</v>
      </c>
      <c r="G92" s="30" t="s">
        <v>885</v>
      </c>
      <c r="H92" s="30" t="s">
        <v>886</v>
      </c>
      <c r="I92" s="26"/>
      <c r="J92" s="21" t="s">
        <v>873</v>
      </c>
      <c r="K92" s="26" t="s">
        <v>33</v>
      </c>
      <c r="L92" s="26" t="s">
        <v>685</v>
      </c>
      <c r="M92" s="26" t="s">
        <v>55</v>
      </c>
      <c r="N92" s="26" t="s">
        <v>887</v>
      </c>
      <c r="O92" s="26" t="s">
        <v>35</v>
      </c>
      <c r="P92" s="26" t="s">
        <v>888</v>
      </c>
      <c r="Q92" s="26" t="s">
        <v>55</v>
      </c>
      <c r="R92" s="26" t="s">
        <v>889</v>
      </c>
      <c r="S92" s="26" t="s">
        <v>57</v>
      </c>
      <c r="T92" s="26" t="s">
        <v>890</v>
      </c>
      <c r="U92" s="26" t="s">
        <v>55</v>
      </c>
      <c r="V92" s="26" t="s">
        <v>893</v>
      </c>
    </row>
    <row r="93" spans="1:22" ht="54" customHeight="1" x14ac:dyDescent="0.2">
      <c r="A93" s="28" t="s">
        <v>686</v>
      </c>
      <c r="B93" s="31" t="s">
        <v>687</v>
      </c>
      <c r="C93" s="31" t="s">
        <v>688</v>
      </c>
      <c r="D93" s="29" t="s">
        <v>689</v>
      </c>
      <c r="E93" s="29" t="s">
        <v>690</v>
      </c>
      <c r="F93" s="29" t="s">
        <v>691</v>
      </c>
      <c r="G93" s="29" t="s">
        <v>692</v>
      </c>
      <c r="H93" s="29" t="s">
        <v>693</v>
      </c>
      <c r="I93" s="28"/>
      <c r="J93" s="21" t="s">
        <v>874</v>
      </c>
      <c r="K93" s="28" t="s">
        <v>33</v>
      </c>
      <c r="L93" s="29" t="s">
        <v>694</v>
      </c>
      <c r="M93" s="28" t="s">
        <v>35</v>
      </c>
      <c r="N93" s="28" t="s">
        <v>695</v>
      </c>
      <c r="O93" s="28" t="s">
        <v>35</v>
      </c>
      <c r="P93" s="28" t="s">
        <v>37</v>
      </c>
      <c r="Q93" s="28" t="s">
        <v>35</v>
      </c>
      <c r="R93" s="28" t="s">
        <v>38</v>
      </c>
      <c r="S93" s="28" t="s">
        <v>39</v>
      </c>
      <c r="T93" s="28" t="s">
        <v>40</v>
      </c>
      <c r="U93" s="28" t="s">
        <v>35</v>
      </c>
      <c r="V93" s="28" t="s">
        <v>41</v>
      </c>
    </row>
    <row r="94" spans="1:22" ht="42" customHeight="1" x14ac:dyDescent="0.2">
      <c r="A94" s="22"/>
      <c r="B94" s="22"/>
      <c r="C94" s="22"/>
      <c r="D94" s="20" t="s">
        <v>696</v>
      </c>
      <c r="E94" s="20" t="s">
        <v>697</v>
      </c>
      <c r="F94" s="20" t="s">
        <v>698</v>
      </c>
      <c r="G94" s="20" t="s">
        <v>699</v>
      </c>
      <c r="H94" s="20" t="s">
        <v>700</v>
      </c>
      <c r="I94" s="22"/>
      <c r="J94" s="21" t="s">
        <v>875</v>
      </c>
      <c r="K94" s="22" t="s">
        <v>33</v>
      </c>
      <c r="L94" s="20" t="s">
        <v>701</v>
      </c>
      <c r="M94" s="22" t="s">
        <v>35</v>
      </c>
      <c r="N94" s="22" t="s">
        <v>695</v>
      </c>
      <c r="O94" s="22" t="s">
        <v>35</v>
      </c>
      <c r="P94" s="22" t="s">
        <v>37</v>
      </c>
      <c r="Q94" s="22" t="s">
        <v>35</v>
      </c>
      <c r="R94" s="22" t="s">
        <v>38</v>
      </c>
      <c r="S94" s="22" t="s">
        <v>39</v>
      </c>
      <c r="T94" s="22" t="s">
        <v>40</v>
      </c>
      <c r="U94" s="22" t="s">
        <v>35</v>
      </c>
      <c r="V94" s="22" t="s">
        <v>41</v>
      </c>
    </row>
    <row r="95" spans="1:22" ht="42" customHeight="1" x14ac:dyDescent="0.2">
      <c r="A95" s="22"/>
      <c r="B95" s="22"/>
      <c r="C95" s="22"/>
      <c r="D95" s="20" t="s">
        <v>702</v>
      </c>
      <c r="E95" s="20" t="s">
        <v>703</v>
      </c>
      <c r="F95" s="20" t="s">
        <v>704</v>
      </c>
      <c r="G95" s="20" t="s">
        <v>705</v>
      </c>
      <c r="H95" s="20" t="s">
        <v>706</v>
      </c>
      <c r="I95" s="22"/>
      <c r="J95" s="21" t="s">
        <v>876</v>
      </c>
      <c r="K95" s="22" t="s">
        <v>33</v>
      </c>
      <c r="L95" s="20" t="s">
        <v>707</v>
      </c>
      <c r="M95" s="22" t="s">
        <v>35</v>
      </c>
      <c r="N95" s="22" t="s">
        <v>695</v>
      </c>
      <c r="O95" s="22" t="s">
        <v>35</v>
      </c>
      <c r="P95" s="22" t="s">
        <v>37</v>
      </c>
      <c r="Q95" s="22" t="s">
        <v>35</v>
      </c>
      <c r="R95" s="22" t="s">
        <v>38</v>
      </c>
      <c r="S95" s="22" t="s">
        <v>39</v>
      </c>
      <c r="T95" s="22" t="s">
        <v>40</v>
      </c>
      <c r="U95" s="22" t="s">
        <v>35</v>
      </c>
      <c r="V95" s="22" t="s">
        <v>41</v>
      </c>
    </row>
    <row r="96" spans="1:22" ht="42" customHeight="1" x14ac:dyDescent="0.2">
      <c r="A96" s="22"/>
      <c r="B96" s="22"/>
      <c r="C96" s="22"/>
      <c r="D96" s="20" t="s">
        <v>708</v>
      </c>
      <c r="E96" s="20" t="s">
        <v>709</v>
      </c>
      <c r="F96" s="20" t="s">
        <v>710</v>
      </c>
      <c r="G96" s="20" t="s">
        <v>711</v>
      </c>
      <c r="H96" s="20" t="s">
        <v>712</v>
      </c>
      <c r="I96" s="22"/>
      <c r="J96" s="21" t="s">
        <v>877</v>
      </c>
      <c r="K96" s="22" t="s">
        <v>33</v>
      </c>
      <c r="L96" s="20" t="s">
        <v>713</v>
      </c>
      <c r="M96" s="22" t="s">
        <v>35</v>
      </c>
      <c r="N96" s="22" t="s">
        <v>695</v>
      </c>
      <c r="O96" s="22" t="s">
        <v>35</v>
      </c>
      <c r="P96" s="22" t="s">
        <v>37</v>
      </c>
      <c r="Q96" s="22" t="s">
        <v>35</v>
      </c>
      <c r="R96" s="22" t="s">
        <v>38</v>
      </c>
      <c r="S96" s="22" t="s">
        <v>39</v>
      </c>
      <c r="T96" s="22" t="s">
        <v>40</v>
      </c>
      <c r="U96" s="22" t="s">
        <v>35</v>
      </c>
      <c r="V96" s="22" t="s">
        <v>41</v>
      </c>
    </row>
    <row r="97" spans="1:22" ht="42" customHeight="1" x14ac:dyDescent="0.2">
      <c r="A97" s="22"/>
      <c r="B97" s="22"/>
      <c r="C97" s="22"/>
      <c r="D97" s="20" t="s">
        <v>714</v>
      </c>
      <c r="E97" s="20" t="s">
        <v>715</v>
      </c>
      <c r="F97" s="20" t="s">
        <v>716</v>
      </c>
      <c r="G97" s="20" t="s">
        <v>717</v>
      </c>
      <c r="H97" s="20" t="s">
        <v>718</v>
      </c>
      <c r="I97" s="22"/>
      <c r="J97" s="21" t="s">
        <v>878</v>
      </c>
      <c r="K97" s="22" t="s">
        <v>53</v>
      </c>
      <c r="L97" s="20" t="s">
        <v>719</v>
      </c>
      <c r="M97" s="22" t="s">
        <v>35</v>
      </c>
      <c r="N97" s="22" t="s">
        <v>695</v>
      </c>
      <c r="O97" s="22" t="s">
        <v>35</v>
      </c>
      <c r="P97" s="22" t="s">
        <v>37</v>
      </c>
      <c r="Q97" s="22" t="s">
        <v>35</v>
      </c>
      <c r="R97" s="22" t="s">
        <v>38</v>
      </c>
      <c r="S97" s="22" t="s">
        <v>39</v>
      </c>
      <c r="T97" s="22" t="s">
        <v>40</v>
      </c>
      <c r="U97" s="22" t="s">
        <v>35</v>
      </c>
      <c r="V97" s="22" t="s">
        <v>41</v>
      </c>
    </row>
    <row r="98" spans="1:22" ht="42" customHeight="1" x14ac:dyDescent="0.2">
      <c r="A98" s="22"/>
      <c r="B98" s="22"/>
      <c r="C98" s="22"/>
      <c r="D98" s="20" t="s">
        <v>720</v>
      </c>
      <c r="E98" s="20" t="s">
        <v>721</v>
      </c>
      <c r="F98" s="20" t="s">
        <v>722</v>
      </c>
      <c r="G98" s="20" t="s">
        <v>723</v>
      </c>
      <c r="H98" s="20" t="s">
        <v>724</v>
      </c>
      <c r="I98" s="22"/>
      <c r="J98" s="21" t="s">
        <v>879</v>
      </c>
      <c r="K98" s="22" t="s">
        <v>33</v>
      </c>
      <c r="L98" s="20" t="s">
        <v>725</v>
      </c>
      <c r="M98" s="22" t="s">
        <v>35</v>
      </c>
      <c r="N98" s="22" t="s">
        <v>695</v>
      </c>
      <c r="O98" s="22" t="s">
        <v>35</v>
      </c>
      <c r="P98" s="22" t="s">
        <v>37</v>
      </c>
      <c r="Q98" s="22" t="s">
        <v>35</v>
      </c>
      <c r="R98" s="22" t="s">
        <v>38</v>
      </c>
      <c r="S98" s="22" t="s">
        <v>39</v>
      </c>
      <c r="T98" s="22" t="s">
        <v>40</v>
      </c>
      <c r="U98" s="22" t="s">
        <v>35</v>
      </c>
      <c r="V98" s="22" t="s">
        <v>41</v>
      </c>
    </row>
    <row r="99" spans="1:22" ht="42" customHeight="1" x14ac:dyDescent="0.2">
      <c r="A99" s="22"/>
      <c r="B99" s="22"/>
      <c r="C99" s="22"/>
      <c r="D99" s="20" t="s">
        <v>726</v>
      </c>
      <c r="E99" s="20" t="s">
        <v>727</v>
      </c>
      <c r="F99" s="20" t="s">
        <v>728</v>
      </c>
      <c r="G99" s="20" t="s">
        <v>729</v>
      </c>
      <c r="H99" s="20" t="s">
        <v>730</v>
      </c>
      <c r="I99" s="22"/>
      <c r="J99" s="21" t="s">
        <v>880</v>
      </c>
      <c r="K99" s="22" t="s">
        <v>33</v>
      </c>
      <c r="L99" s="20" t="s">
        <v>731</v>
      </c>
      <c r="M99" s="22" t="s">
        <v>35</v>
      </c>
      <c r="N99" s="22" t="s">
        <v>732</v>
      </c>
      <c r="O99" s="22" t="s">
        <v>35</v>
      </c>
      <c r="P99" s="22" t="s">
        <v>37</v>
      </c>
      <c r="Q99" s="22" t="s">
        <v>35</v>
      </c>
      <c r="R99" s="22" t="s">
        <v>38</v>
      </c>
      <c r="S99" s="22" t="s">
        <v>39</v>
      </c>
      <c r="T99" s="22" t="s">
        <v>733</v>
      </c>
      <c r="U99" s="22" t="s">
        <v>35</v>
      </c>
      <c r="V99" s="22" t="s">
        <v>734</v>
      </c>
    </row>
    <row r="100" spans="1:22" ht="42" customHeight="1" x14ac:dyDescent="0.2">
      <c r="A100" s="22"/>
      <c r="B100" s="22"/>
      <c r="C100" s="22"/>
      <c r="D100" s="20" t="s">
        <v>735</v>
      </c>
      <c r="E100" s="20" t="s">
        <v>736</v>
      </c>
      <c r="F100" s="20" t="s">
        <v>737</v>
      </c>
      <c r="G100" s="20" t="s">
        <v>738</v>
      </c>
      <c r="H100" s="20" t="s">
        <v>739</v>
      </c>
      <c r="I100" s="22"/>
      <c r="J100" s="21" t="s">
        <v>881</v>
      </c>
      <c r="K100" s="22" t="s">
        <v>33</v>
      </c>
      <c r="L100" s="20" t="s">
        <v>740</v>
      </c>
      <c r="M100" s="22" t="s">
        <v>35</v>
      </c>
      <c r="N100" s="22" t="s">
        <v>695</v>
      </c>
      <c r="O100" s="22" t="s">
        <v>35</v>
      </c>
      <c r="P100" s="22" t="s">
        <v>37</v>
      </c>
      <c r="Q100" s="22" t="s">
        <v>35</v>
      </c>
      <c r="R100" s="22" t="s">
        <v>38</v>
      </c>
      <c r="S100" s="22" t="s">
        <v>39</v>
      </c>
      <c r="T100" s="22" t="s">
        <v>40</v>
      </c>
      <c r="U100" s="22" t="s">
        <v>35</v>
      </c>
      <c r="V100" s="22" t="s">
        <v>41</v>
      </c>
    </row>
    <row r="101" spans="1:22" ht="42" customHeight="1" x14ac:dyDescent="0.2">
      <c r="A101" s="22"/>
      <c r="B101" s="22"/>
      <c r="C101" s="22"/>
      <c r="D101" s="20" t="s">
        <v>741</v>
      </c>
      <c r="E101" s="20" t="s">
        <v>742</v>
      </c>
      <c r="F101" s="20" t="s">
        <v>743</v>
      </c>
      <c r="G101" s="20" t="s">
        <v>744</v>
      </c>
      <c r="H101" s="20" t="s">
        <v>745</v>
      </c>
      <c r="I101" s="22"/>
      <c r="J101" s="21" t="s">
        <v>882</v>
      </c>
      <c r="K101" s="22" t="s">
        <v>33</v>
      </c>
      <c r="L101" s="20" t="s">
        <v>746</v>
      </c>
      <c r="M101" s="22" t="s">
        <v>35</v>
      </c>
      <c r="N101" s="22" t="s">
        <v>695</v>
      </c>
      <c r="O101" s="22" t="s">
        <v>35</v>
      </c>
      <c r="P101" s="22" t="s">
        <v>37</v>
      </c>
      <c r="Q101" s="22" t="s">
        <v>35</v>
      </c>
      <c r="R101" s="22" t="s">
        <v>38</v>
      </c>
      <c r="S101" s="22" t="s">
        <v>39</v>
      </c>
      <c r="T101" s="22" t="s">
        <v>40</v>
      </c>
      <c r="U101" s="22" t="s">
        <v>35</v>
      </c>
      <c r="V101" s="22" t="s">
        <v>41</v>
      </c>
    </row>
    <row r="102" spans="1:22" ht="69" customHeight="1" x14ac:dyDescent="0.2">
      <c r="A102" s="22"/>
      <c r="B102" s="22"/>
      <c r="C102" s="22"/>
      <c r="D102" s="20" t="s">
        <v>747</v>
      </c>
      <c r="E102" s="20" t="s">
        <v>748</v>
      </c>
      <c r="F102" s="20" t="s">
        <v>749</v>
      </c>
      <c r="G102" s="20" t="s">
        <v>750</v>
      </c>
      <c r="H102" s="20" t="s">
        <v>751</v>
      </c>
      <c r="I102" s="22"/>
      <c r="J102" s="21" t="s">
        <v>884</v>
      </c>
      <c r="K102" s="22" t="s">
        <v>53</v>
      </c>
      <c r="L102" s="20" t="s">
        <v>752</v>
      </c>
      <c r="M102" s="22" t="s">
        <v>35</v>
      </c>
      <c r="N102" s="22" t="s">
        <v>695</v>
      </c>
      <c r="O102" s="22" t="s">
        <v>35</v>
      </c>
      <c r="P102" s="22" t="s">
        <v>37</v>
      </c>
      <c r="Q102" s="22" t="s">
        <v>35</v>
      </c>
      <c r="R102" s="22" t="s">
        <v>38</v>
      </c>
      <c r="S102" s="22" t="s">
        <v>39</v>
      </c>
      <c r="T102" s="22" t="s">
        <v>40</v>
      </c>
      <c r="U102" s="22" t="s">
        <v>35</v>
      </c>
      <c r="V102" s="22" t="s">
        <v>41</v>
      </c>
    </row>
  </sheetData>
  <autoFilter ref="A2:V102" xr:uid="{00000000-0009-0000-0000-000000000000}"/>
  <mergeCells count="1">
    <mergeCell ref="M1:V1"/>
  </mergeCells>
  <conditionalFormatting sqref="K3:K102">
    <cfRule type="expression" dxfId="35" priority="1">
      <formula>K3="Yes"</formula>
    </cfRule>
    <cfRule type="expression" dxfId="34" priority="2">
      <formula>K3="Partial"</formula>
    </cfRule>
    <cfRule type="expression" dxfId="33" priority="3">
      <formula>K3="No"</formula>
    </cfRule>
  </conditionalFormatting>
  <conditionalFormatting sqref="M3:M102">
    <cfRule type="cellIs" dxfId="32" priority="4" operator="equal">
      <formula>"Strong"</formula>
    </cfRule>
    <cfRule type="cellIs" dxfId="31" priority="5" operator="equal">
      <formula>"Acceptable"</formula>
    </cfRule>
    <cfRule type="cellIs" dxfId="30" priority="6" operator="equal">
      <formula>"Weak"</formula>
    </cfRule>
  </conditionalFormatting>
  <conditionalFormatting sqref="O3:O102">
    <cfRule type="cellIs" dxfId="29" priority="7" operator="equal">
      <formula>"Strong"</formula>
    </cfRule>
    <cfRule type="cellIs" dxfId="28" priority="8" operator="equal">
      <formula>"Acceptable"</formula>
    </cfRule>
    <cfRule type="cellIs" dxfId="27" priority="9" operator="equal">
      <formula>"Weak"</formula>
    </cfRule>
  </conditionalFormatting>
  <conditionalFormatting sqref="Q3:Q102">
    <cfRule type="cellIs" dxfId="26" priority="10" operator="equal">
      <formula>"Strong"</formula>
    </cfRule>
    <cfRule type="cellIs" dxfId="25" priority="11" operator="equal">
      <formula>"Acceptable"</formula>
    </cfRule>
    <cfRule type="cellIs" dxfId="24" priority="12" operator="equal">
      <formula>"Weak"</formula>
    </cfRule>
  </conditionalFormatting>
  <conditionalFormatting sqref="S3:S102">
    <cfRule type="cellIs" dxfId="23" priority="16" operator="equal">
      <formula>"Low Risk"</formula>
    </cfRule>
    <cfRule type="cellIs" dxfId="22" priority="17" operator="equal">
      <formula>"Medium Risk"</formula>
    </cfRule>
    <cfRule type="cellIs" dxfId="21" priority="18" operator="equal">
      <formula>"High Risk"</formula>
    </cfRule>
  </conditionalFormatting>
  <conditionalFormatting sqref="U3:U102">
    <cfRule type="cellIs" dxfId="20" priority="13" operator="equal">
      <formula>"Strong"</formula>
    </cfRule>
    <cfRule type="cellIs" dxfId="19" priority="14" operator="equal">
      <formula>"Acceptable"</formula>
    </cfRule>
    <cfRule type="cellIs" dxfId="18" priority="15" operator="equal">
      <formula>"Weak"</formula>
    </cfRule>
  </conditionalFormatting>
  <dataValidations count="3">
    <dataValidation type="list" sqref="K3:K102" xr:uid="{00000000-0002-0000-0000-000000000000}">
      <formula1>"Yes,Partial,No"</formula1>
    </dataValidation>
    <dataValidation type="list" allowBlank="1" sqref="M3:M102 U3:U102 Q3:Q102 O3:O102" xr:uid="{00000000-0002-0000-0000-000001000000}">
      <formula1>"Strong,Acceptable,Weak"</formula1>
    </dataValidation>
    <dataValidation type="list" allowBlank="1" sqref="S3:S102" xr:uid="{00000000-0002-0000-0000-000005000000}">
      <formula1>"Low Risk,Medium Risk,High Risk"</formula1>
    </dataValidation>
  </dataValidations>
  <pageMargins left="0.7" right="0.7" top="0.75" bottom="0.75" header="0.3" footer="0.3"/>
  <pageSetup paperSize="9" orientation="portrait" horizontalDpi="0" verticalDpi="0"/>
  <headerFooter>
    <oddHeader>&amp;R&amp;"Aptos"&amp;11&amp;K000000 TUNI Luottamuksellinen - Confidential (3Y)&amp;1#_x000D_&amp;"Aptos Narrow"&amp;12&amp;K000000&amp;"Aptos"&amp;1 &amp;K000000 TUNI Luottamuksellinen - Confidential (3Y)#_x000D_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tabSelected="1" workbookViewId="0">
      <selection activeCell="P17" sqref="P17"/>
    </sheetView>
  </sheetViews>
  <sheetFormatPr baseColWidth="10" defaultColWidth="8.83203125" defaultRowHeight="16" x14ac:dyDescent="0.2"/>
  <cols>
    <col min="1" max="1" width="9.83203125" customWidth="1"/>
    <col min="2" max="2" width="12.83203125" customWidth="1"/>
    <col min="3" max="3" width="17.1640625" customWidth="1"/>
    <col min="4" max="4" width="38.6640625" customWidth="1"/>
  </cols>
  <sheetData>
    <row r="1" spans="1:11" x14ac:dyDescent="0.2">
      <c r="A1" s="43" t="s">
        <v>966</v>
      </c>
    </row>
    <row r="2" spans="1:11" x14ac:dyDescent="0.2">
      <c r="A2" s="3" t="s">
        <v>13</v>
      </c>
      <c r="B2" s="3" t="s">
        <v>753</v>
      </c>
      <c r="C2" s="3" t="s">
        <v>965</v>
      </c>
      <c r="D2" s="45"/>
    </row>
    <row r="3" spans="1:11" x14ac:dyDescent="0.2">
      <c r="A3" t="s">
        <v>33</v>
      </c>
      <c r="B3">
        <f>COUNTIF('Evaluation by researcher'!$K$3:$K$102,A3)</f>
        <v>90</v>
      </c>
      <c r="C3" s="4">
        <f>B3/COUNTA('Evaluation by researcher'!$K$3:$K$102)</f>
        <v>0.9</v>
      </c>
    </row>
    <row r="4" spans="1:11" x14ac:dyDescent="0.2">
      <c r="A4" t="s">
        <v>53</v>
      </c>
      <c r="B4">
        <f>COUNTIF('Evaluation by researcher'!$K$3:$K$102,A4)</f>
        <v>10</v>
      </c>
      <c r="C4" s="4">
        <f>B4/COUNTA('Evaluation by researcher'!$K$3:$K$9102)</f>
        <v>0.1</v>
      </c>
    </row>
    <row r="5" spans="1:11" x14ac:dyDescent="0.2">
      <c r="A5" t="s">
        <v>348</v>
      </c>
      <c r="B5">
        <f>COUNTIF('Evaluation by researcher'!$K$3:$K$102,A5)</f>
        <v>0</v>
      </c>
      <c r="C5" s="4">
        <f>B5/COUNTA('Evaluation by researcher'!$K$3:$K$92)</f>
        <v>0</v>
      </c>
    </row>
    <row r="6" spans="1:11" x14ac:dyDescent="0.2">
      <c r="A6" t="s">
        <v>759</v>
      </c>
      <c r="B6">
        <v>100</v>
      </c>
    </row>
    <row r="11" spans="1:11" s="44" customFormat="1" x14ac:dyDescent="0.2">
      <c r="A11" s="1"/>
      <c r="B11" s="1"/>
      <c r="C11" s="1"/>
      <c r="D11" s="1"/>
      <c r="E11" s="1"/>
      <c r="F11" s="1"/>
      <c r="G11" s="1"/>
      <c r="H11" s="1"/>
      <c r="I11" s="1"/>
      <c r="J11" s="1"/>
      <c r="K11" s="1"/>
    </row>
    <row r="13" spans="1:11" x14ac:dyDescent="0.2">
      <c r="A13" t="s">
        <v>967</v>
      </c>
    </row>
    <row r="14" spans="1:11" ht="34" x14ac:dyDescent="0.2">
      <c r="A14" s="5" t="s">
        <v>760</v>
      </c>
      <c r="B14" s="5" t="s">
        <v>35</v>
      </c>
      <c r="C14" s="5" t="s">
        <v>55</v>
      </c>
      <c r="D14" s="5" t="s">
        <v>350</v>
      </c>
      <c r="E14" s="5" t="s">
        <v>39</v>
      </c>
      <c r="F14" s="5" t="s">
        <v>57</v>
      </c>
      <c r="G14" s="5" t="s">
        <v>352</v>
      </c>
    </row>
    <row r="15" spans="1:11" ht="34" x14ac:dyDescent="0.2">
      <c r="A15" s="11" t="s">
        <v>15</v>
      </c>
      <c r="B15" s="12">
        <f>COUNTIF('Evaluation by researcher'!M3:M102,"Strong")</f>
        <v>70</v>
      </c>
      <c r="C15" s="12">
        <f>COUNTIF('Evaluation by researcher'!M3:M102,"Acceptable")</f>
        <v>30</v>
      </c>
      <c r="D15" s="12">
        <f>COUNTIF('Evaluation by researcher'!M3:M102,"Weak")</f>
        <v>0</v>
      </c>
      <c r="E15" s="11"/>
      <c r="F15" s="11"/>
      <c r="G15" s="11"/>
    </row>
    <row r="16" spans="1:11" ht="34" x14ac:dyDescent="0.2">
      <c r="A16" s="11" t="s">
        <v>17</v>
      </c>
      <c r="B16">
        <f>COUNTIF('Evaluation by researcher'!O3:O102,"Strong")</f>
        <v>99</v>
      </c>
      <c r="C16">
        <f>COUNTIF('Evaluation by researcher'!O3:O102,"Acceptable")</f>
        <v>1</v>
      </c>
      <c r="D16">
        <f>COUNTIF('Evaluation by researcher'!O3:O102,"Weak")</f>
        <v>0</v>
      </c>
      <c r="E16" s="11"/>
      <c r="F16" s="11"/>
      <c r="G16" s="11"/>
    </row>
    <row r="17" spans="1:7" ht="51" x14ac:dyDescent="0.2">
      <c r="A17" s="11" t="s">
        <v>19</v>
      </c>
      <c r="B17" s="12">
        <f>COUNTIF('Evaluation by researcher'!Q3:Q102,"Strong")</f>
        <v>87</v>
      </c>
      <c r="C17" s="12">
        <f>COUNTIF('Evaluation by researcher'!Q3:Q102,"Acceptable")</f>
        <v>13</v>
      </c>
      <c r="D17" s="12">
        <f>COUNTIF('Evaluation by researcher'!Q3:Q102,"Weak")</f>
        <v>0</v>
      </c>
      <c r="E17" s="11"/>
      <c r="F17" s="11"/>
      <c r="G17" s="11"/>
    </row>
    <row r="18" spans="1:7" ht="34" x14ac:dyDescent="0.2">
      <c r="A18" s="11" t="s">
        <v>21</v>
      </c>
      <c r="B18" s="12"/>
      <c r="C18" s="12"/>
      <c r="D18" s="12"/>
      <c r="E18" s="11">
        <f>COUNTIF('Evaluation by researcher'!S3:S102,"Low Risk")</f>
        <v>71</v>
      </c>
      <c r="F18" s="11">
        <f>COUNTIF('Evaluation by researcher'!S3:S102,"Medium Risk")</f>
        <v>29</v>
      </c>
      <c r="G18" s="11">
        <f>COUNTIF('Evaluation by researcher'!S3:S102,"High Risk")</f>
        <v>0</v>
      </c>
    </row>
    <row r="19" spans="1:7" ht="51" x14ac:dyDescent="0.2">
      <c r="A19" s="11" t="s">
        <v>23</v>
      </c>
      <c r="B19" s="12">
        <f>COUNTIF('Evaluation by researcher'!U3:U102,"Strong")</f>
        <v>70</v>
      </c>
      <c r="C19" s="12">
        <f>COUNTIF('Evaluation by researcher'!U3:U102,"Acceptable")</f>
        <v>30</v>
      </c>
      <c r="D19" s="12">
        <f>COUNTIF('Evaluation by researcher'!U3:U102,"Weak")</f>
        <v>0</v>
      </c>
      <c r="E19" s="11"/>
      <c r="F19" s="11"/>
      <c r="G19" s="11"/>
    </row>
    <row r="45" spans="1:7" x14ac:dyDescent="0.2">
      <c r="A45" s="32"/>
      <c r="B45" s="33"/>
      <c r="C45" s="33"/>
      <c r="D45" s="33"/>
      <c r="E45" s="33"/>
      <c r="F45" s="33"/>
      <c r="G45" s="33"/>
    </row>
    <row r="46" spans="1:7" x14ac:dyDescent="0.2">
      <c r="A46" s="11"/>
      <c r="B46" s="34"/>
      <c r="C46" s="34"/>
      <c r="D46" s="34"/>
      <c r="E46" s="11"/>
      <c r="F46" s="11"/>
      <c r="G46" s="11"/>
    </row>
    <row r="47" spans="1:7" x14ac:dyDescent="0.2">
      <c r="A47" s="11"/>
      <c r="B47" s="34"/>
      <c r="C47" s="34"/>
      <c r="D47" s="34"/>
      <c r="E47" s="11"/>
      <c r="F47" s="11"/>
      <c r="G47" s="11"/>
    </row>
    <row r="48" spans="1:7" x14ac:dyDescent="0.2">
      <c r="A48" s="11"/>
      <c r="C48" s="34"/>
      <c r="D48" s="34"/>
      <c r="E48" s="11"/>
      <c r="F48" s="11"/>
      <c r="G48" s="11"/>
    </row>
    <row r="49" spans="1:7" x14ac:dyDescent="0.2">
      <c r="A49" s="11"/>
      <c r="B49" s="11"/>
      <c r="C49" s="11"/>
      <c r="D49" s="11"/>
    </row>
    <row r="50" spans="1:7" x14ac:dyDescent="0.2">
      <c r="A50" s="11"/>
      <c r="B50" s="34"/>
      <c r="C50" s="34"/>
      <c r="D50" s="34"/>
      <c r="E50" s="11"/>
      <c r="F50" s="11"/>
      <c r="G50" s="11"/>
    </row>
  </sheetData>
  <pageMargins left="0.7" right="0.7" top="0.75" bottom="0.75" header="0.3" footer="0.3"/>
  <pageSetup paperSize="9" orientation="portrait" horizontalDpi="0" verticalDpi="0"/>
  <headerFooter>
    <oddHeader>&amp;R&amp;"Aptos"&amp;11&amp;K000000 TUNI Luottamuksellinen - Confidential (3Y)&amp;1#_x000D_&amp;"Aptos Narrow"&amp;12&amp;K000000&amp;"Aptos"&amp;1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workbookViewId="0">
      <pane ySplit="1" topLeftCell="A2" activePane="bottomLeft" state="frozen"/>
      <selection pane="bottomLeft" activeCell="A17" sqref="A17"/>
    </sheetView>
  </sheetViews>
  <sheetFormatPr baseColWidth="10" defaultColWidth="8.83203125" defaultRowHeight="16" x14ac:dyDescent="0.2"/>
  <cols>
    <col min="1" max="1" width="24" customWidth="1"/>
    <col min="2" max="2" width="60" customWidth="1"/>
    <col min="3" max="3" width="48" customWidth="1"/>
    <col min="4" max="5" width="52" customWidth="1"/>
  </cols>
  <sheetData>
    <row r="1" spans="1:2" ht="30" customHeight="1" x14ac:dyDescent="0.2">
      <c r="A1" t="s">
        <v>968</v>
      </c>
    </row>
    <row r="2" spans="1:2" ht="29" customHeight="1" x14ac:dyDescent="0.2">
      <c r="A2" s="3" t="s">
        <v>13</v>
      </c>
      <c r="B2" s="3" t="s">
        <v>755</v>
      </c>
    </row>
    <row r="3" spans="1:2" ht="22" customHeight="1" x14ac:dyDescent="0.2">
      <c r="A3" t="s">
        <v>33</v>
      </c>
      <c r="B3" t="s">
        <v>756</v>
      </c>
    </row>
    <row r="4" spans="1:2" ht="22" customHeight="1" x14ac:dyDescent="0.2">
      <c r="A4" t="s">
        <v>53</v>
      </c>
      <c r="B4" t="s">
        <v>757</v>
      </c>
    </row>
    <row r="5" spans="1:2" ht="22" customHeight="1" x14ac:dyDescent="0.2">
      <c r="A5" t="s">
        <v>348</v>
      </c>
      <c r="B5" t="s">
        <v>758</v>
      </c>
    </row>
    <row r="6" spans="1:2" ht="22" customHeight="1" x14ac:dyDescent="0.2"/>
    <row r="17" spans="1:5" x14ac:dyDescent="0.2">
      <c r="A17" t="s">
        <v>969</v>
      </c>
    </row>
    <row r="19" spans="1:5" ht="17" x14ac:dyDescent="0.2">
      <c r="A19" s="7" t="s">
        <v>760</v>
      </c>
      <c r="B19" s="7" t="s">
        <v>761</v>
      </c>
      <c r="C19" s="7" t="s">
        <v>762</v>
      </c>
      <c r="D19" s="7" t="s">
        <v>763</v>
      </c>
      <c r="E19" s="7" t="s">
        <v>764</v>
      </c>
    </row>
    <row r="20" spans="1:5" ht="51" x14ac:dyDescent="0.2">
      <c r="A20" s="6" t="s">
        <v>15</v>
      </c>
      <c r="B20" s="6" t="s">
        <v>765</v>
      </c>
      <c r="C20" s="8" t="s">
        <v>766</v>
      </c>
      <c r="D20" s="9" t="s">
        <v>767</v>
      </c>
      <c r="E20" s="10" t="s">
        <v>768</v>
      </c>
    </row>
    <row r="21" spans="1:5" ht="51" x14ac:dyDescent="0.2">
      <c r="A21" s="6" t="s">
        <v>17</v>
      </c>
      <c r="B21" s="6" t="s">
        <v>769</v>
      </c>
      <c r="C21" s="8" t="s">
        <v>770</v>
      </c>
      <c r="D21" s="9" t="s">
        <v>771</v>
      </c>
      <c r="E21" s="10" t="s">
        <v>772</v>
      </c>
    </row>
    <row r="22" spans="1:5" ht="51" x14ac:dyDescent="0.2">
      <c r="A22" s="6" t="s">
        <v>19</v>
      </c>
      <c r="B22" s="6" t="s">
        <v>773</v>
      </c>
      <c r="C22" s="8" t="s">
        <v>774</v>
      </c>
      <c r="D22" s="9" t="s">
        <v>775</v>
      </c>
      <c r="E22" s="10" t="s">
        <v>776</v>
      </c>
    </row>
    <row r="23" spans="1:5" ht="51" x14ac:dyDescent="0.2">
      <c r="A23" s="6" t="s">
        <v>21</v>
      </c>
      <c r="B23" s="6" t="s">
        <v>777</v>
      </c>
      <c r="C23" s="8" t="s">
        <v>778</v>
      </c>
      <c r="D23" s="9" t="s">
        <v>779</v>
      </c>
      <c r="E23" s="10" t="s">
        <v>780</v>
      </c>
    </row>
    <row r="24" spans="1:5" ht="34" x14ac:dyDescent="0.2">
      <c r="A24" s="6" t="s">
        <v>23</v>
      </c>
      <c r="B24" s="6" t="s">
        <v>781</v>
      </c>
      <c r="C24" s="8" t="s">
        <v>782</v>
      </c>
      <c r="D24" s="9" t="s">
        <v>783</v>
      </c>
      <c r="E24" s="10" t="s">
        <v>784</v>
      </c>
    </row>
  </sheetData>
  <pageMargins left="0.75" right="0.75" top="1" bottom="1" header="0.5" footer="0.5"/>
  <pageSetup paperSize="9" orientation="portrait" horizontalDpi="0" verticalDpi="0"/>
  <headerFooter>
    <oddHeader>&amp;R&amp;"Aptos"&amp;11&amp;K000000 TUNI Luottamuksellinen - Confidential (3Y)&amp;1#_x000D_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DE43-E617-B945-8042-4DD865DE48A3}">
  <dimension ref="A1:V102"/>
  <sheetViews>
    <sheetView topLeftCell="M10" zoomScale="83" zoomScaleNormal="90" workbookViewId="0">
      <selection activeCell="J9" sqref="A1:V102"/>
    </sheetView>
  </sheetViews>
  <sheetFormatPr baseColWidth="10" defaultRowHeight="16" x14ac:dyDescent="0.2"/>
  <cols>
    <col min="1" max="1" width="18" style="13" customWidth="1"/>
    <col min="2" max="2" width="32" style="13" customWidth="1"/>
    <col min="3" max="3" width="34" style="13" customWidth="1"/>
    <col min="4" max="4" width="12" style="13" customWidth="1"/>
    <col min="5" max="5" width="42" style="13" customWidth="1"/>
    <col min="6" max="6" width="40.1640625" style="13" customWidth="1"/>
    <col min="7" max="7" width="36" style="13" customWidth="1"/>
    <col min="8" max="8" width="69.5" style="15" customWidth="1"/>
    <col min="9" max="9" width="8" style="13" customWidth="1"/>
    <col min="10" max="10" width="55" style="13" customWidth="1"/>
    <col min="11" max="11" width="14" style="13" customWidth="1"/>
    <col min="12" max="12" width="44" style="13" customWidth="1"/>
    <col min="13" max="13" width="18" style="13" customWidth="1"/>
    <col min="14" max="14" width="48" style="13" customWidth="1"/>
    <col min="15" max="15" width="20" style="13" customWidth="1"/>
    <col min="16" max="16" width="48" style="13" customWidth="1"/>
    <col min="17" max="17" width="22" style="13" customWidth="1"/>
    <col min="18" max="18" width="48" style="13" customWidth="1"/>
    <col min="19" max="19" width="20" style="13" customWidth="1"/>
    <col min="20" max="20" width="48" style="13" customWidth="1"/>
    <col min="21" max="21" width="20" style="13" customWidth="1"/>
    <col min="22" max="22" width="55" style="13" customWidth="1"/>
    <col min="23" max="23" width="10.83203125" style="13"/>
    <col min="24" max="24" width="10.83203125" style="13" customWidth="1"/>
    <col min="25" max="25" width="10.83203125" style="13"/>
    <col min="26" max="26" width="10.83203125" style="13" customWidth="1"/>
    <col min="27" max="27" width="10.83203125" style="13"/>
    <col min="28" max="28" width="10.83203125" style="13" customWidth="1"/>
    <col min="29" max="29" width="10.83203125" style="13"/>
    <col min="30" max="30" width="10.83203125" style="13" customWidth="1"/>
    <col min="31" max="31" width="10.83203125" style="13"/>
    <col min="32" max="32" width="10.83203125" style="13" customWidth="1"/>
    <col min="33" max="16384" width="10.83203125" style="13"/>
  </cols>
  <sheetData>
    <row r="1" spans="1:22" ht="28" customHeight="1" x14ac:dyDescent="0.2">
      <c r="A1" s="35" t="s">
        <v>0</v>
      </c>
      <c r="B1" s="35"/>
      <c r="C1" s="35"/>
      <c r="D1" s="35"/>
      <c r="E1" s="35"/>
      <c r="F1" s="35"/>
      <c r="G1" s="35"/>
      <c r="H1" s="35"/>
      <c r="I1" s="35" t="s">
        <v>1</v>
      </c>
      <c r="J1" s="35" t="s">
        <v>2</v>
      </c>
      <c r="K1" s="35"/>
      <c r="L1" s="35"/>
      <c r="M1" s="42" t="s">
        <v>3</v>
      </c>
      <c r="N1" s="42"/>
      <c r="O1" s="42"/>
      <c r="P1" s="42"/>
      <c r="Q1" s="42"/>
      <c r="R1" s="42"/>
      <c r="S1" s="42"/>
      <c r="T1" s="42"/>
      <c r="U1" s="42"/>
      <c r="V1" s="42"/>
    </row>
    <row r="2" spans="1:22" ht="28" customHeight="1" x14ac:dyDescent="0.2">
      <c r="A2" s="36" t="s">
        <v>4</v>
      </c>
      <c r="B2" s="36" t="s">
        <v>5</v>
      </c>
      <c r="C2" s="36" t="s">
        <v>6</v>
      </c>
      <c r="D2" s="36" t="s">
        <v>7</v>
      </c>
      <c r="E2" s="36" t="s">
        <v>8</v>
      </c>
      <c r="F2" s="36" t="s">
        <v>9</v>
      </c>
      <c r="G2" s="36" t="s">
        <v>10</v>
      </c>
      <c r="H2" s="36" t="s">
        <v>11</v>
      </c>
      <c r="I2" s="36"/>
      <c r="J2" s="36" t="s">
        <v>12</v>
      </c>
      <c r="K2" s="36" t="s">
        <v>13</v>
      </c>
      <c r="L2" s="36" t="s">
        <v>14</v>
      </c>
      <c r="M2" s="37" t="s">
        <v>15</v>
      </c>
      <c r="N2" s="37" t="s">
        <v>16</v>
      </c>
      <c r="O2" s="37" t="s">
        <v>17</v>
      </c>
      <c r="P2" s="37" t="s">
        <v>18</v>
      </c>
      <c r="Q2" s="37" t="s">
        <v>19</v>
      </c>
      <c r="R2" s="37" t="s">
        <v>20</v>
      </c>
      <c r="S2" s="37" t="s">
        <v>21</v>
      </c>
      <c r="T2" s="37" t="s">
        <v>22</v>
      </c>
      <c r="U2" s="37" t="s">
        <v>23</v>
      </c>
      <c r="V2" s="37" t="s">
        <v>24</v>
      </c>
    </row>
    <row r="3" spans="1:22" ht="97" customHeight="1" x14ac:dyDescent="0.2">
      <c r="A3" s="19" t="s">
        <v>25</v>
      </c>
      <c r="B3" s="19" t="s">
        <v>26</v>
      </c>
      <c r="C3" s="19" t="s">
        <v>27</v>
      </c>
      <c r="D3" s="20" t="s">
        <v>28</v>
      </c>
      <c r="E3" s="20" t="s">
        <v>29</v>
      </c>
      <c r="F3" s="20" t="s">
        <v>30</v>
      </c>
      <c r="G3" s="20" t="s">
        <v>31</v>
      </c>
      <c r="H3" s="20" t="s">
        <v>32</v>
      </c>
      <c r="I3" s="20"/>
      <c r="J3" s="27" t="s">
        <v>883</v>
      </c>
      <c r="K3" s="20" t="s">
        <v>33</v>
      </c>
      <c r="L3" s="22" t="s">
        <v>34</v>
      </c>
      <c r="M3" s="22" t="s">
        <v>35</v>
      </c>
      <c r="N3" s="22" t="s">
        <v>36</v>
      </c>
      <c r="O3" s="22" t="s">
        <v>35</v>
      </c>
      <c r="P3" s="22" t="s">
        <v>37</v>
      </c>
      <c r="Q3" s="22" t="s">
        <v>35</v>
      </c>
      <c r="R3" s="22" t="s">
        <v>38</v>
      </c>
      <c r="S3" s="22" t="s">
        <v>39</v>
      </c>
      <c r="T3" s="22" t="s">
        <v>40</v>
      </c>
      <c r="U3" s="22" t="s">
        <v>35</v>
      </c>
      <c r="V3" s="22" t="s">
        <v>41</v>
      </c>
    </row>
    <row r="4" spans="1:22" ht="79" customHeight="1" x14ac:dyDescent="0.2">
      <c r="A4" s="22"/>
      <c r="B4" s="22"/>
      <c r="C4" s="22"/>
      <c r="D4" s="20" t="s">
        <v>42</v>
      </c>
      <c r="E4" s="20" t="s">
        <v>43</v>
      </c>
      <c r="F4" s="20" t="s">
        <v>44</v>
      </c>
      <c r="G4" s="20" t="s">
        <v>45</v>
      </c>
      <c r="H4" s="20" t="s">
        <v>46</v>
      </c>
      <c r="I4" s="20"/>
      <c r="J4" s="27" t="s">
        <v>785</v>
      </c>
      <c r="K4" s="20" t="s">
        <v>33</v>
      </c>
      <c r="L4" s="22" t="s">
        <v>47</v>
      </c>
      <c r="M4" s="22" t="s">
        <v>35</v>
      </c>
      <c r="N4" s="22" t="s">
        <v>36</v>
      </c>
      <c r="O4" s="22" t="s">
        <v>35</v>
      </c>
      <c r="P4" s="22" t="s">
        <v>37</v>
      </c>
      <c r="Q4" s="22" t="s">
        <v>35</v>
      </c>
      <c r="R4" s="22" t="s">
        <v>38</v>
      </c>
      <c r="S4" s="22" t="s">
        <v>39</v>
      </c>
      <c r="T4" s="22" t="s">
        <v>40</v>
      </c>
      <c r="U4" s="22" t="s">
        <v>35</v>
      </c>
      <c r="V4" s="22" t="s">
        <v>41</v>
      </c>
    </row>
    <row r="5" spans="1:22" ht="137" customHeight="1" x14ac:dyDescent="0.2">
      <c r="A5" s="22"/>
      <c r="B5" s="22"/>
      <c r="C5" s="22"/>
      <c r="D5" s="20" t="s">
        <v>48</v>
      </c>
      <c r="E5" s="20" t="s">
        <v>49</v>
      </c>
      <c r="F5" s="20" t="s">
        <v>50</v>
      </c>
      <c r="G5" s="20" t="s">
        <v>51</v>
      </c>
      <c r="H5" s="20" t="s">
        <v>52</v>
      </c>
      <c r="I5" s="20"/>
      <c r="J5" s="27" t="s">
        <v>786</v>
      </c>
      <c r="K5" s="20" t="s">
        <v>33</v>
      </c>
      <c r="L5" s="22" t="s">
        <v>903</v>
      </c>
      <c r="M5" s="22" t="s">
        <v>55</v>
      </c>
      <c r="N5" s="22" t="s">
        <v>56</v>
      </c>
      <c r="O5" s="22" t="s">
        <v>35</v>
      </c>
      <c r="P5" s="22" t="s">
        <v>37</v>
      </c>
      <c r="Q5" s="22" t="s">
        <v>35</v>
      </c>
      <c r="R5" s="22" t="s">
        <v>38</v>
      </c>
      <c r="S5" s="22" t="s">
        <v>57</v>
      </c>
      <c r="T5" s="22" t="s">
        <v>58</v>
      </c>
      <c r="U5" s="22" t="s">
        <v>55</v>
      </c>
      <c r="V5" s="22" t="s">
        <v>59</v>
      </c>
    </row>
    <row r="6" spans="1:22" ht="115" customHeight="1" x14ac:dyDescent="0.2">
      <c r="A6" s="22"/>
      <c r="B6" s="22"/>
      <c r="C6" s="22"/>
      <c r="D6" s="20" t="s">
        <v>60</v>
      </c>
      <c r="E6" s="20" t="s">
        <v>61</v>
      </c>
      <c r="F6" s="20" t="s">
        <v>62</v>
      </c>
      <c r="G6" s="20" t="s">
        <v>63</v>
      </c>
      <c r="H6" s="20" t="s">
        <v>64</v>
      </c>
      <c r="I6" s="20"/>
      <c r="J6" s="27" t="s">
        <v>787</v>
      </c>
      <c r="K6" s="20" t="s">
        <v>33</v>
      </c>
      <c r="L6" s="22" t="s">
        <v>904</v>
      </c>
      <c r="M6" s="22" t="s">
        <v>55</v>
      </c>
      <c r="N6" s="22" t="s">
        <v>66</v>
      </c>
      <c r="O6" s="22" t="s">
        <v>35</v>
      </c>
      <c r="P6" s="22" t="s">
        <v>37</v>
      </c>
      <c r="Q6" s="22" t="s">
        <v>55</v>
      </c>
      <c r="R6" s="22" t="s">
        <v>67</v>
      </c>
      <c r="S6" s="22" t="s">
        <v>57</v>
      </c>
      <c r="T6" s="22" t="s">
        <v>68</v>
      </c>
      <c r="U6" s="22" t="s">
        <v>55</v>
      </c>
      <c r="V6" s="22" t="s">
        <v>69</v>
      </c>
    </row>
    <row r="7" spans="1:22" ht="138" customHeight="1" x14ac:dyDescent="0.2">
      <c r="A7" s="22"/>
      <c r="B7" s="22"/>
      <c r="C7" s="22"/>
      <c r="D7" s="20" t="s">
        <v>70</v>
      </c>
      <c r="E7" s="20" t="s">
        <v>71</v>
      </c>
      <c r="F7" s="20" t="s">
        <v>72</v>
      </c>
      <c r="G7" s="20" t="s">
        <v>73</v>
      </c>
      <c r="H7" s="20" t="s">
        <v>74</v>
      </c>
      <c r="I7" s="20"/>
      <c r="J7" s="27" t="s">
        <v>788</v>
      </c>
      <c r="K7" s="20" t="s">
        <v>53</v>
      </c>
      <c r="L7" s="22" t="s">
        <v>905</v>
      </c>
      <c r="M7" s="22" t="s">
        <v>55</v>
      </c>
      <c r="N7" s="22" t="s">
        <v>76</v>
      </c>
      <c r="O7" s="22" t="s">
        <v>35</v>
      </c>
      <c r="P7" s="22" t="s">
        <v>37</v>
      </c>
      <c r="Q7" s="22" t="s">
        <v>35</v>
      </c>
      <c r="R7" s="22" t="s">
        <v>38</v>
      </c>
      <c r="S7" s="22" t="s">
        <v>57</v>
      </c>
      <c r="T7" s="22" t="s">
        <v>77</v>
      </c>
      <c r="U7" s="22" t="s">
        <v>55</v>
      </c>
      <c r="V7" s="22" t="s">
        <v>78</v>
      </c>
    </row>
    <row r="8" spans="1:22" ht="66" customHeight="1" x14ac:dyDescent="0.2">
      <c r="A8" s="22"/>
      <c r="B8" s="22"/>
      <c r="C8" s="22"/>
      <c r="D8" s="20" t="s">
        <v>79</v>
      </c>
      <c r="E8" s="20" t="s">
        <v>80</v>
      </c>
      <c r="F8" s="20" t="s">
        <v>81</v>
      </c>
      <c r="G8" s="20" t="s">
        <v>82</v>
      </c>
      <c r="H8" s="20" t="s">
        <v>83</v>
      </c>
      <c r="I8" s="20"/>
      <c r="J8" s="27" t="s">
        <v>789</v>
      </c>
      <c r="K8" s="20" t="s">
        <v>33</v>
      </c>
      <c r="L8" s="22" t="s">
        <v>84</v>
      </c>
      <c r="M8" s="22" t="s">
        <v>35</v>
      </c>
      <c r="N8" s="22" t="s">
        <v>36</v>
      </c>
      <c r="O8" s="22" t="s">
        <v>35</v>
      </c>
      <c r="P8" s="22" t="s">
        <v>37</v>
      </c>
      <c r="Q8" s="22" t="s">
        <v>35</v>
      </c>
      <c r="R8" s="22" t="s">
        <v>38</v>
      </c>
      <c r="S8" s="22" t="s">
        <v>39</v>
      </c>
      <c r="T8" s="22" t="s">
        <v>40</v>
      </c>
      <c r="U8" s="22" t="s">
        <v>35</v>
      </c>
      <c r="V8" s="22" t="s">
        <v>41</v>
      </c>
    </row>
    <row r="9" spans="1:22" ht="130" customHeight="1" x14ac:dyDescent="0.2">
      <c r="A9" s="22"/>
      <c r="B9" s="22"/>
      <c r="C9" s="22"/>
      <c r="D9" s="20" t="s">
        <v>85</v>
      </c>
      <c r="E9" s="20" t="s">
        <v>86</v>
      </c>
      <c r="F9" s="20" t="s">
        <v>87</v>
      </c>
      <c r="G9" s="20" t="s">
        <v>919</v>
      </c>
      <c r="H9" s="20" t="s">
        <v>89</v>
      </c>
      <c r="I9" s="20"/>
      <c r="J9" s="27" t="s">
        <v>790</v>
      </c>
      <c r="K9" s="20" t="s">
        <v>53</v>
      </c>
      <c r="L9" s="22" t="s">
        <v>920</v>
      </c>
      <c r="M9" s="22" t="s">
        <v>55</v>
      </c>
      <c r="N9" s="22" t="s">
        <v>917</v>
      </c>
      <c r="O9" s="22" t="s">
        <v>35</v>
      </c>
      <c r="P9" s="22" t="s">
        <v>37</v>
      </c>
      <c r="Q9" s="22" t="s">
        <v>35</v>
      </c>
      <c r="R9" s="22" t="s">
        <v>38</v>
      </c>
      <c r="S9" s="22" t="s">
        <v>39</v>
      </c>
      <c r="T9" s="22" t="s">
        <v>40</v>
      </c>
      <c r="U9" s="22" t="s">
        <v>35</v>
      </c>
      <c r="V9" s="22" t="s">
        <v>41</v>
      </c>
    </row>
    <row r="10" spans="1:22" ht="66" customHeight="1" x14ac:dyDescent="0.2">
      <c r="A10" s="22"/>
      <c r="B10" s="22"/>
      <c r="C10" s="22"/>
      <c r="D10" s="20" t="s">
        <v>91</v>
      </c>
      <c r="E10" s="20" t="s">
        <v>92</v>
      </c>
      <c r="F10" s="20" t="s">
        <v>93</v>
      </c>
      <c r="G10" s="20" t="s">
        <v>94</v>
      </c>
      <c r="H10" s="20" t="s">
        <v>95</v>
      </c>
      <c r="I10" s="20"/>
      <c r="J10" s="27" t="s">
        <v>791</v>
      </c>
      <c r="K10" s="20" t="s">
        <v>33</v>
      </c>
      <c r="L10" s="22" t="s">
        <v>96</v>
      </c>
      <c r="M10" s="22" t="s">
        <v>55</v>
      </c>
      <c r="N10" s="22" t="s">
        <v>97</v>
      </c>
      <c r="O10" s="22" t="s">
        <v>35</v>
      </c>
      <c r="P10" s="22" t="s">
        <v>37</v>
      </c>
      <c r="Q10" s="22" t="s">
        <v>55</v>
      </c>
      <c r="R10" s="22" t="s">
        <v>67</v>
      </c>
      <c r="S10" s="22" t="s">
        <v>57</v>
      </c>
      <c r="T10" s="22" t="s">
        <v>98</v>
      </c>
      <c r="U10" s="22" t="s">
        <v>55</v>
      </c>
      <c r="V10" s="22" t="s">
        <v>99</v>
      </c>
    </row>
    <row r="11" spans="1:22" ht="74" customHeight="1" x14ac:dyDescent="0.2">
      <c r="A11" s="22"/>
      <c r="B11" s="22"/>
      <c r="C11" s="22"/>
      <c r="D11" s="20" t="s">
        <v>100</v>
      </c>
      <c r="E11" s="20" t="s">
        <v>101</v>
      </c>
      <c r="F11" s="20" t="s">
        <v>102</v>
      </c>
      <c r="G11" s="20" t="s">
        <v>103</v>
      </c>
      <c r="H11" s="20" t="s">
        <v>104</v>
      </c>
      <c r="I11" s="20"/>
      <c r="J11" s="27" t="s">
        <v>792</v>
      </c>
      <c r="K11" s="20" t="s">
        <v>33</v>
      </c>
      <c r="L11" s="22" t="s">
        <v>105</v>
      </c>
      <c r="M11" s="22" t="s">
        <v>35</v>
      </c>
      <c r="N11" s="22" t="s">
        <v>36</v>
      </c>
      <c r="O11" s="22" t="s">
        <v>35</v>
      </c>
      <c r="P11" s="22" t="s">
        <v>37</v>
      </c>
      <c r="Q11" s="22" t="s">
        <v>35</v>
      </c>
      <c r="R11" s="22" t="s">
        <v>38</v>
      </c>
      <c r="S11" s="22" t="s">
        <v>39</v>
      </c>
      <c r="T11" s="22" t="s">
        <v>40</v>
      </c>
      <c r="U11" s="22" t="s">
        <v>35</v>
      </c>
      <c r="V11" s="22" t="s">
        <v>41</v>
      </c>
    </row>
    <row r="12" spans="1:22" ht="140" customHeight="1" x14ac:dyDescent="0.2">
      <c r="A12" s="22"/>
      <c r="B12" s="22"/>
      <c r="C12" s="22"/>
      <c r="D12" s="20" t="s">
        <v>106</v>
      </c>
      <c r="E12" s="20" t="s">
        <v>107</v>
      </c>
      <c r="F12" s="20" t="s">
        <v>108</v>
      </c>
      <c r="G12" s="20" t="s">
        <v>109</v>
      </c>
      <c r="H12" s="20" t="s">
        <v>110</v>
      </c>
      <c r="I12" s="20"/>
      <c r="J12" s="27" t="s">
        <v>793</v>
      </c>
      <c r="K12" s="20" t="s">
        <v>53</v>
      </c>
      <c r="L12" s="22" t="s">
        <v>921</v>
      </c>
      <c r="M12" s="22" t="s">
        <v>55</v>
      </c>
      <c r="N12" s="22" t="s">
        <v>36</v>
      </c>
      <c r="O12" s="22" t="s">
        <v>35</v>
      </c>
      <c r="P12" s="22" t="s">
        <v>37</v>
      </c>
      <c r="Q12" s="22" t="s">
        <v>35</v>
      </c>
      <c r="R12" s="22" t="s">
        <v>38</v>
      </c>
      <c r="S12" s="22" t="s">
        <v>39</v>
      </c>
      <c r="T12" s="22" t="s">
        <v>40</v>
      </c>
      <c r="U12" s="22" t="s">
        <v>55</v>
      </c>
      <c r="V12" s="22" t="s">
        <v>906</v>
      </c>
    </row>
    <row r="13" spans="1:22" ht="104" customHeight="1" x14ac:dyDescent="0.2">
      <c r="A13" s="19" t="s">
        <v>112</v>
      </c>
      <c r="B13" s="19" t="s">
        <v>113</v>
      </c>
      <c r="C13" s="19" t="s">
        <v>114</v>
      </c>
      <c r="D13" s="20" t="s">
        <v>115</v>
      </c>
      <c r="E13" s="20" t="s">
        <v>116</v>
      </c>
      <c r="F13" s="20" t="s">
        <v>117</v>
      </c>
      <c r="G13" s="20" t="s">
        <v>118</v>
      </c>
      <c r="H13" s="20" t="s">
        <v>119</v>
      </c>
      <c r="I13" s="22"/>
      <c r="J13" s="27" t="s">
        <v>794</v>
      </c>
      <c r="K13" s="22" t="s">
        <v>33</v>
      </c>
      <c r="L13" s="22" t="s">
        <v>907</v>
      </c>
      <c r="M13" s="22" t="s">
        <v>35</v>
      </c>
      <c r="N13" s="22" t="s">
        <v>121</v>
      </c>
      <c r="O13" s="22" t="s">
        <v>35</v>
      </c>
      <c r="P13" s="22" t="s">
        <v>37</v>
      </c>
      <c r="Q13" s="22" t="s">
        <v>35</v>
      </c>
      <c r="R13" s="22" t="s">
        <v>38</v>
      </c>
      <c r="S13" s="22" t="s">
        <v>39</v>
      </c>
      <c r="T13" s="22" t="s">
        <v>40</v>
      </c>
      <c r="U13" s="22" t="s">
        <v>35</v>
      </c>
      <c r="V13" s="22" t="s">
        <v>41</v>
      </c>
    </row>
    <row r="14" spans="1:22" ht="108" customHeight="1" x14ac:dyDescent="0.2">
      <c r="A14" s="22"/>
      <c r="B14" s="22"/>
      <c r="C14" s="22"/>
      <c r="D14" s="20" t="s">
        <v>122</v>
      </c>
      <c r="E14" s="20" t="s">
        <v>123</v>
      </c>
      <c r="F14" s="20" t="s">
        <v>124</v>
      </c>
      <c r="G14" s="20" t="s">
        <v>125</v>
      </c>
      <c r="H14" s="20" t="s">
        <v>126</v>
      </c>
      <c r="I14" s="22"/>
      <c r="J14" s="27" t="s">
        <v>795</v>
      </c>
      <c r="K14" s="22" t="s">
        <v>33</v>
      </c>
      <c r="L14" s="22" t="s">
        <v>894</v>
      </c>
      <c r="M14" s="22" t="s">
        <v>55</v>
      </c>
      <c r="N14" s="22" t="s">
        <v>128</v>
      </c>
      <c r="O14" s="22" t="s">
        <v>35</v>
      </c>
      <c r="P14" s="22" t="s">
        <v>37</v>
      </c>
      <c r="Q14" s="22" t="s">
        <v>35</v>
      </c>
      <c r="R14" s="22" t="s">
        <v>38</v>
      </c>
      <c r="S14" s="22" t="s">
        <v>57</v>
      </c>
      <c r="T14" s="22" t="s">
        <v>129</v>
      </c>
      <c r="U14" s="22" t="s">
        <v>55</v>
      </c>
      <c r="V14" s="22" t="s">
        <v>130</v>
      </c>
    </row>
    <row r="15" spans="1:22" ht="80" customHeight="1" x14ac:dyDescent="0.2">
      <c r="A15" s="22"/>
      <c r="B15" s="22"/>
      <c r="C15" s="22"/>
      <c r="D15" s="20" t="s">
        <v>131</v>
      </c>
      <c r="E15" s="20" t="s">
        <v>132</v>
      </c>
      <c r="F15" s="20" t="s">
        <v>133</v>
      </c>
      <c r="G15" s="20" t="s">
        <v>134</v>
      </c>
      <c r="H15" s="20" t="s">
        <v>135</v>
      </c>
      <c r="I15" s="22"/>
      <c r="J15" s="27" t="s">
        <v>796</v>
      </c>
      <c r="K15" s="22" t="s">
        <v>33</v>
      </c>
      <c r="L15" s="22" t="s">
        <v>922</v>
      </c>
      <c r="M15" s="22" t="s">
        <v>35</v>
      </c>
      <c r="N15" s="22" t="s">
        <v>121</v>
      </c>
      <c r="O15" s="22" t="s">
        <v>35</v>
      </c>
      <c r="P15" s="22" t="s">
        <v>37</v>
      </c>
      <c r="Q15" s="22" t="s">
        <v>35</v>
      </c>
      <c r="R15" s="22" t="s">
        <v>923</v>
      </c>
      <c r="S15" s="22" t="s">
        <v>39</v>
      </c>
      <c r="T15" s="22" t="s">
        <v>40</v>
      </c>
      <c r="U15" s="22" t="s">
        <v>55</v>
      </c>
      <c r="V15" s="22" t="s">
        <v>41</v>
      </c>
    </row>
    <row r="16" spans="1:22" ht="97" customHeight="1" x14ac:dyDescent="0.2">
      <c r="A16" s="22"/>
      <c r="B16" s="22"/>
      <c r="C16" s="22"/>
      <c r="D16" s="20" t="s">
        <v>137</v>
      </c>
      <c r="E16" s="20" t="s">
        <v>138</v>
      </c>
      <c r="F16" s="20" t="s">
        <v>139</v>
      </c>
      <c r="G16" s="20" t="s">
        <v>140</v>
      </c>
      <c r="H16" s="20" t="s">
        <v>141</v>
      </c>
      <c r="I16" s="22"/>
      <c r="J16" s="27" t="s">
        <v>797</v>
      </c>
      <c r="K16" s="22" t="s">
        <v>33</v>
      </c>
      <c r="L16" s="22" t="s">
        <v>142</v>
      </c>
      <c r="M16" s="22" t="s">
        <v>55</v>
      </c>
      <c r="N16" s="22" t="s">
        <v>143</v>
      </c>
      <c r="O16" s="22" t="s">
        <v>35</v>
      </c>
      <c r="P16" s="22" t="s">
        <v>37</v>
      </c>
      <c r="Q16" s="22" t="s">
        <v>35</v>
      </c>
      <c r="R16" s="22" t="s">
        <v>38</v>
      </c>
      <c r="S16" s="22" t="s">
        <v>57</v>
      </c>
      <c r="T16" s="22" t="s">
        <v>144</v>
      </c>
      <c r="U16" s="22" t="s">
        <v>55</v>
      </c>
      <c r="V16" s="22" t="s">
        <v>145</v>
      </c>
    </row>
    <row r="17" spans="1:22" ht="81" customHeight="1" x14ac:dyDescent="0.2">
      <c r="A17" s="22"/>
      <c r="B17" s="22"/>
      <c r="C17" s="22"/>
      <c r="D17" s="20" t="s">
        <v>146</v>
      </c>
      <c r="E17" s="20" t="s">
        <v>147</v>
      </c>
      <c r="F17" s="20" t="s">
        <v>148</v>
      </c>
      <c r="G17" s="20" t="s">
        <v>149</v>
      </c>
      <c r="H17" s="20" t="s">
        <v>150</v>
      </c>
      <c r="I17" s="22"/>
      <c r="J17" s="27" t="s">
        <v>798</v>
      </c>
      <c r="K17" s="22" t="s">
        <v>53</v>
      </c>
      <c r="L17" s="22" t="s">
        <v>924</v>
      </c>
      <c r="M17" s="22" t="s">
        <v>55</v>
      </c>
      <c r="N17" s="22" t="s">
        <v>152</v>
      </c>
      <c r="O17" s="22" t="s">
        <v>35</v>
      </c>
      <c r="P17" s="22" t="s">
        <v>925</v>
      </c>
      <c r="Q17" s="22" t="s">
        <v>35</v>
      </c>
      <c r="R17" s="22" t="s">
        <v>38</v>
      </c>
      <c r="S17" s="22" t="s">
        <v>57</v>
      </c>
      <c r="T17" s="22" t="s">
        <v>153</v>
      </c>
      <c r="U17" s="22" t="s">
        <v>55</v>
      </c>
      <c r="V17" s="22" t="s">
        <v>154</v>
      </c>
    </row>
    <row r="18" spans="1:22" ht="104" customHeight="1" x14ac:dyDescent="0.2">
      <c r="A18" s="22"/>
      <c r="B18" s="22"/>
      <c r="C18" s="22"/>
      <c r="D18" s="20" t="s">
        <v>155</v>
      </c>
      <c r="E18" s="20" t="s">
        <v>156</v>
      </c>
      <c r="F18" s="20" t="s">
        <v>157</v>
      </c>
      <c r="G18" s="20" t="s">
        <v>158</v>
      </c>
      <c r="H18" s="20" t="s">
        <v>159</v>
      </c>
      <c r="I18" s="22"/>
      <c r="J18" s="27" t="s">
        <v>799</v>
      </c>
      <c r="K18" s="22" t="s">
        <v>53</v>
      </c>
      <c r="L18" s="22" t="s">
        <v>926</v>
      </c>
      <c r="M18" s="22" t="s">
        <v>55</v>
      </c>
      <c r="N18" s="22" t="s">
        <v>161</v>
      </c>
      <c r="O18" s="22" t="s">
        <v>35</v>
      </c>
      <c r="P18" s="22" t="s">
        <v>37</v>
      </c>
      <c r="Q18" s="22" t="s">
        <v>35</v>
      </c>
      <c r="R18" s="22" t="s">
        <v>38</v>
      </c>
      <c r="S18" s="22" t="s">
        <v>57</v>
      </c>
      <c r="T18" s="22" t="s">
        <v>162</v>
      </c>
      <c r="U18" s="22" t="s">
        <v>350</v>
      </c>
      <c r="V18" s="22" t="s">
        <v>163</v>
      </c>
    </row>
    <row r="19" spans="1:22" ht="67" customHeight="1" x14ac:dyDescent="0.2">
      <c r="A19" s="22"/>
      <c r="B19" s="22"/>
      <c r="C19" s="22"/>
      <c r="D19" s="20" t="s">
        <v>164</v>
      </c>
      <c r="E19" s="20" t="s">
        <v>165</v>
      </c>
      <c r="F19" s="20" t="s">
        <v>166</v>
      </c>
      <c r="G19" s="20" t="s">
        <v>167</v>
      </c>
      <c r="H19" s="20" t="s">
        <v>168</v>
      </c>
      <c r="I19" s="22"/>
      <c r="J19" s="27" t="s">
        <v>800</v>
      </c>
      <c r="K19" s="22" t="s">
        <v>33</v>
      </c>
      <c r="L19" s="22" t="s">
        <v>908</v>
      </c>
      <c r="M19" s="22" t="s">
        <v>35</v>
      </c>
      <c r="N19" s="22" t="s">
        <v>121</v>
      </c>
      <c r="O19" s="22" t="s">
        <v>35</v>
      </c>
      <c r="P19" s="22" t="s">
        <v>37</v>
      </c>
      <c r="Q19" s="22" t="s">
        <v>35</v>
      </c>
      <c r="R19" s="22" t="s">
        <v>38</v>
      </c>
      <c r="S19" s="22" t="s">
        <v>39</v>
      </c>
      <c r="T19" s="22" t="s">
        <v>40</v>
      </c>
      <c r="U19" s="22" t="s">
        <v>35</v>
      </c>
      <c r="V19" s="22" t="s">
        <v>41</v>
      </c>
    </row>
    <row r="20" spans="1:22" ht="83" customHeight="1" x14ac:dyDescent="0.2">
      <c r="A20" s="22"/>
      <c r="B20" s="22"/>
      <c r="C20" s="22"/>
      <c r="D20" s="20" t="s">
        <v>170</v>
      </c>
      <c r="E20" s="20" t="s">
        <v>171</v>
      </c>
      <c r="F20" s="20" t="s">
        <v>172</v>
      </c>
      <c r="G20" s="20" t="s">
        <v>173</v>
      </c>
      <c r="H20" s="20" t="s">
        <v>174</v>
      </c>
      <c r="I20" s="22"/>
      <c r="J20" s="27" t="s">
        <v>801</v>
      </c>
      <c r="K20" s="22" t="s">
        <v>33</v>
      </c>
      <c r="L20" s="22" t="s">
        <v>895</v>
      </c>
      <c r="M20" s="22" t="s">
        <v>35</v>
      </c>
      <c r="N20" s="22" t="s">
        <v>121</v>
      </c>
      <c r="O20" s="22" t="s">
        <v>35</v>
      </c>
      <c r="P20" s="22" t="s">
        <v>927</v>
      </c>
      <c r="Q20" s="22" t="s">
        <v>35</v>
      </c>
      <c r="R20" s="22" t="s">
        <v>38</v>
      </c>
      <c r="S20" s="22" t="s">
        <v>39</v>
      </c>
      <c r="T20" s="22" t="s">
        <v>40</v>
      </c>
      <c r="U20" s="22" t="s">
        <v>35</v>
      </c>
      <c r="V20" s="22" t="s">
        <v>41</v>
      </c>
    </row>
    <row r="21" spans="1:22" ht="69" customHeight="1" x14ac:dyDescent="0.2">
      <c r="A21" s="22"/>
      <c r="B21" s="22"/>
      <c r="C21" s="22"/>
      <c r="D21" s="20" t="s">
        <v>176</v>
      </c>
      <c r="E21" s="20" t="s">
        <v>177</v>
      </c>
      <c r="F21" s="20" t="s">
        <v>178</v>
      </c>
      <c r="G21" s="20" t="s">
        <v>179</v>
      </c>
      <c r="H21" s="20" t="s">
        <v>180</v>
      </c>
      <c r="I21" s="22"/>
      <c r="J21" s="27" t="s">
        <v>802</v>
      </c>
      <c r="K21" s="22" t="s">
        <v>33</v>
      </c>
      <c r="L21" s="22" t="s">
        <v>181</v>
      </c>
      <c r="M21" s="22" t="s">
        <v>35</v>
      </c>
      <c r="N21" s="22" t="s">
        <v>121</v>
      </c>
      <c r="O21" s="22" t="s">
        <v>35</v>
      </c>
      <c r="P21" s="22" t="s">
        <v>928</v>
      </c>
      <c r="Q21" s="22" t="s">
        <v>35</v>
      </c>
      <c r="R21" s="22" t="s">
        <v>38</v>
      </c>
      <c r="S21" s="22" t="s">
        <v>39</v>
      </c>
      <c r="T21" s="22" t="s">
        <v>40</v>
      </c>
      <c r="U21" s="22" t="s">
        <v>35</v>
      </c>
      <c r="V21" s="22" t="s">
        <v>41</v>
      </c>
    </row>
    <row r="22" spans="1:22" ht="111" customHeight="1" x14ac:dyDescent="0.2">
      <c r="A22" s="22"/>
      <c r="B22" s="22"/>
      <c r="C22" s="22"/>
      <c r="D22" s="20" t="s">
        <v>182</v>
      </c>
      <c r="E22" s="20" t="s">
        <v>183</v>
      </c>
      <c r="F22" s="20" t="s">
        <v>184</v>
      </c>
      <c r="G22" s="20" t="s">
        <v>185</v>
      </c>
      <c r="H22" s="20" t="s">
        <v>186</v>
      </c>
      <c r="I22" s="22"/>
      <c r="J22" s="27" t="s">
        <v>803</v>
      </c>
      <c r="K22" s="22" t="s">
        <v>53</v>
      </c>
      <c r="L22" s="22" t="s">
        <v>929</v>
      </c>
      <c r="M22" s="22" t="s">
        <v>55</v>
      </c>
      <c r="N22" s="38" t="s">
        <v>909</v>
      </c>
      <c r="O22" s="22" t="s">
        <v>35</v>
      </c>
      <c r="P22" s="22" t="s">
        <v>930</v>
      </c>
      <c r="Q22" s="22" t="s">
        <v>35</v>
      </c>
      <c r="R22" s="22" t="s">
        <v>38</v>
      </c>
      <c r="S22" s="22" t="s">
        <v>57</v>
      </c>
      <c r="T22" s="22" t="s">
        <v>931</v>
      </c>
      <c r="U22" s="22" t="s">
        <v>55</v>
      </c>
      <c r="V22" s="22" t="s">
        <v>932</v>
      </c>
    </row>
    <row r="23" spans="1:22" ht="42" customHeight="1" x14ac:dyDescent="0.2">
      <c r="A23" s="19" t="s">
        <v>188</v>
      </c>
      <c r="B23" s="19" t="s">
        <v>189</v>
      </c>
      <c r="C23" s="19" t="s">
        <v>190</v>
      </c>
      <c r="D23" s="20" t="s">
        <v>191</v>
      </c>
      <c r="E23" s="20" t="s">
        <v>192</v>
      </c>
      <c r="F23" s="20" t="s">
        <v>193</v>
      </c>
      <c r="G23" s="20" t="s">
        <v>194</v>
      </c>
      <c r="H23" s="20" t="s">
        <v>195</v>
      </c>
      <c r="I23" s="22"/>
      <c r="J23" s="27" t="s">
        <v>804</v>
      </c>
      <c r="K23" s="22" t="s">
        <v>33</v>
      </c>
      <c r="L23" s="22" t="s">
        <v>196</v>
      </c>
      <c r="M23" s="22" t="s">
        <v>35</v>
      </c>
      <c r="N23" s="22" t="s">
        <v>197</v>
      </c>
      <c r="O23" s="22" t="s">
        <v>35</v>
      </c>
      <c r="P23" s="22" t="s">
        <v>37</v>
      </c>
      <c r="Q23" s="22" t="s">
        <v>35</v>
      </c>
      <c r="R23" s="22" t="s">
        <v>38</v>
      </c>
      <c r="S23" s="22" t="s">
        <v>39</v>
      </c>
      <c r="T23" s="22" t="s">
        <v>40</v>
      </c>
      <c r="U23" s="22" t="s">
        <v>35</v>
      </c>
      <c r="V23" s="22" t="s">
        <v>41</v>
      </c>
    </row>
    <row r="24" spans="1:22" ht="84" customHeight="1" x14ac:dyDescent="0.2">
      <c r="A24" s="22"/>
      <c r="B24" s="22"/>
      <c r="C24" s="22"/>
      <c r="D24" s="20" t="s">
        <v>198</v>
      </c>
      <c r="E24" s="20" t="s">
        <v>199</v>
      </c>
      <c r="F24" s="20" t="s">
        <v>200</v>
      </c>
      <c r="G24" s="20" t="s">
        <v>201</v>
      </c>
      <c r="H24" s="20" t="s">
        <v>202</v>
      </c>
      <c r="I24" s="22"/>
      <c r="J24" s="27" t="s">
        <v>805</v>
      </c>
      <c r="K24" s="22" t="s">
        <v>33</v>
      </c>
      <c r="L24" s="22" t="s">
        <v>203</v>
      </c>
      <c r="M24" s="22" t="s">
        <v>55</v>
      </c>
      <c r="N24" s="22" t="s">
        <v>204</v>
      </c>
      <c r="O24" s="22" t="s">
        <v>35</v>
      </c>
      <c r="P24" s="22" t="s">
        <v>37</v>
      </c>
      <c r="Q24" s="22" t="s">
        <v>55</v>
      </c>
      <c r="R24" s="22" t="s">
        <v>67</v>
      </c>
      <c r="S24" s="22" t="s">
        <v>57</v>
      </c>
      <c r="T24" s="22" t="s">
        <v>205</v>
      </c>
      <c r="U24" s="22" t="s">
        <v>55</v>
      </c>
      <c r="V24" s="22" t="s">
        <v>206</v>
      </c>
    </row>
    <row r="25" spans="1:22" ht="42" customHeight="1" x14ac:dyDescent="0.2">
      <c r="A25" s="22"/>
      <c r="B25" s="22"/>
      <c r="C25" s="22"/>
      <c r="D25" s="20" t="s">
        <v>207</v>
      </c>
      <c r="E25" s="20" t="s">
        <v>208</v>
      </c>
      <c r="F25" s="20" t="s">
        <v>209</v>
      </c>
      <c r="G25" s="20" t="s">
        <v>210</v>
      </c>
      <c r="H25" s="20" t="s">
        <v>211</v>
      </c>
      <c r="I25" s="22"/>
      <c r="J25" s="27" t="s">
        <v>806</v>
      </c>
      <c r="K25" s="22" t="s">
        <v>33</v>
      </c>
      <c r="L25" s="22" t="s">
        <v>212</v>
      </c>
      <c r="M25" s="22" t="s">
        <v>55</v>
      </c>
      <c r="N25" s="22" t="s">
        <v>213</v>
      </c>
      <c r="O25" s="22" t="s">
        <v>35</v>
      </c>
      <c r="P25" s="22" t="s">
        <v>37</v>
      </c>
      <c r="Q25" s="22" t="s">
        <v>35</v>
      </c>
      <c r="R25" s="22" t="s">
        <v>38</v>
      </c>
      <c r="S25" s="22" t="s">
        <v>57</v>
      </c>
      <c r="T25" s="22" t="s">
        <v>214</v>
      </c>
      <c r="U25" s="22" t="s">
        <v>55</v>
      </c>
      <c r="V25" s="22" t="s">
        <v>215</v>
      </c>
    </row>
    <row r="26" spans="1:22" ht="90" customHeight="1" x14ac:dyDescent="0.2">
      <c r="A26" s="22"/>
      <c r="B26" s="22"/>
      <c r="C26" s="22"/>
      <c r="D26" s="20" t="s">
        <v>216</v>
      </c>
      <c r="E26" s="20" t="s">
        <v>217</v>
      </c>
      <c r="F26" s="20" t="s">
        <v>218</v>
      </c>
      <c r="G26" s="20" t="s">
        <v>219</v>
      </c>
      <c r="H26" s="20" t="s">
        <v>220</v>
      </c>
      <c r="I26" s="22"/>
      <c r="J26" s="27" t="s">
        <v>807</v>
      </c>
      <c r="K26" s="22" t="s">
        <v>53</v>
      </c>
      <c r="L26" s="22" t="s">
        <v>221</v>
      </c>
      <c r="M26" s="22" t="s">
        <v>350</v>
      </c>
      <c r="N26" s="38" t="s">
        <v>912</v>
      </c>
      <c r="O26" s="22" t="s">
        <v>35</v>
      </c>
      <c r="P26" s="22" t="s">
        <v>37</v>
      </c>
      <c r="Q26" s="22" t="s">
        <v>55</v>
      </c>
      <c r="R26" s="38" t="s">
        <v>910</v>
      </c>
      <c r="S26" s="22" t="s">
        <v>352</v>
      </c>
      <c r="T26" s="38" t="s">
        <v>910</v>
      </c>
      <c r="U26" s="22" t="s">
        <v>350</v>
      </c>
      <c r="V26" s="38" t="s">
        <v>910</v>
      </c>
    </row>
    <row r="27" spans="1:22" ht="66" customHeight="1" x14ac:dyDescent="0.2">
      <c r="A27" s="22"/>
      <c r="B27" s="22"/>
      <c r="C27" s="22"/>
      <c r="D27" s="20" t="s">
        <v>225</v>
      </c>
      <c r="E27" s="20" t="s">
        <v>226</v>
      </c>
      <c r="F27" s="20" t="s">
        <v>227</v>
      </c>
      <c r="G27" s="20" t="s">
        <v>228</v>
      </c>
      <c r="H27" s="20" t="s">
        <v>229</v>
      </c>
      <c r="I27" s="22"/>
      <c r="J27" s="27" t="s">
        <v>808</v>
      </c>
      <c r="K27" s="22" t="s">
        <v>53</v>
      </c>
      <c r="L27" s="22" t="s">
        <v>933</v>
      </c>
      <c r="M27" s="22" t="s">
        <v>35</v>
      </c>
      <c r="N27" s="22" t="s">
        <v>197</v>
      </c>
      <c r="O27" s="22" t="s">
        <v>35</v>
      </c>
      <c r="P27" s="22" t="s">
        <v>37</v>
      </c>
      <c r="Q27" s="22" t="s">
        <v>35</v>
      </c>
      <c r="R27" s="22" t="s">
        <v>38</v>
      </c>
      <c r="S27" s="22" t="s">
        <v>39</v>
      </c>
      <c r="T27" s="22" t="s">
        <v>40</v>
      </c>
      <c r="U27" s="22" t="s">
        <v>35</v>
      </c>
      <c r="V27" s="22" t="s">
        <v>41</v>
      </c>
    </row>
    <row r="28" spans="1:22" ht="70" customHeight="1" x14ac:dyDescent="0.2">
      <c r="A28" s="22"/>
      <c r="B28" s="22"/>
      <c r="C28" s="22"/>
      <c r="D28" s="20" t="s">
        <v>231</v>
      </c>
      <c r="E28" s="20" t="s">
        <v>232</v>
      </c>
      <c r="F28" s="20" t="s">
        <v>233</v>
      </c>
      <c r="G28" s="20" t="s">
        <v>234</v>
      </c>
      <c r="H28" s="20" t="s">
        <v>235</v>
      </c>
      <c r="I28" s="22"/>
      <c r="J28" s="27" t="s">
        <v>809</v>
      </c>
      <c r="K28" s="22" t="s">
        <v>33</v>
      </c>
      <c r="L28" s="22" t="s">
        <v>911</v>
      </c>
      <c r="M28" s="22" t="s">
        <v>35</v>
      </c>
      <c r="N28" s="22" t="s">
        <v>197</v>
      </c>
      <c r="O28" s="22" t="s">
        <v>35</v>
      </c>
      <c r="P28" s="22" t="s">
        <v>37</v>
      </c>
      <c r="Q28" s="22" t="s">
        <v>35</v>
      </c>
      <c r="R28" s="22" t="s">
        <v>934</v>
      </c>
      <c r="S28" s="22" t="s">
        <v>39</v>
      </c>
      <c r="T28" s="22" t="s">
        <v>40</v>
      </c>
      <c r="U28" s="22" t="s">
        <v>35</v>
      </c>
      <c r="V28" s="22" t="s">
        <v>41</v>
      </c>
    </row>
    <row r="29" spans="1:22" ht="42" customHeight="1" x14ac:dyDescent="0.2">
      <c r="A29" s="22"/>
      <c r="B29" s="22"/>
      <c r="C29" s="22"/>
      <c r="D29" s="20" t="s">
        <v>237</v>
      </c>
      <c r="E29" s="20" t="s">
        <v>238</v>
      </c>
      <c r="F29" s="20" t="s">
        <v>239</v>
      </c>
      <c r="G29" s="20" t="s">
        <v>240</v>
      </c>
      <c r="H29" s="20" t="s">
        <v>241</v>
      </c>
      <c r="I29" s="22"/>
      <c r="J29" s="27" t="s">
        <v>810</v>
      </c>
      <c r="K29" s="22" t="s">
        <v>33</v>
      </c>
      <c r="L29" s="22" t="s">
        <v>242</v>
      </c>
      <c r="M29" s="22" t="s">
        <v>35</v>
      </c>
      <c r="N29" s="22" t="s">
        <v>197</v>
      </c>
      <c r="O29" s="22" t="s">
        <v>35</v>
      </c>
      <c r="P29" s="22" t="s">
        <v>37</v>
      </c>
      <c r="Q29" s="22" t="s">
        <v>35</v>
      </c>
      <c r="R29" s="22" t="s">
        <v>38</v>
      </c>
      <c r="S29" s="22" t="s">
        <v>39</v>
      </c>
      <c r="T29" s="22" t="s">
        <v>40</v>
      </c>
      <c r="U29" s="22" t="s">
        <v>35</v>
      </c>
      <c r="V29" s="22" t="s">
        <v>41</v>
      </c>
    </row>
    <row r="30" spans="1:22" ht="42" customHeight="1" x14ac:dyDescent="0.2">
      <c r="A30" s="22"/>
      <c r="B30" s="22"/>
      <c r="C30" s="22"/>
      <c r="D30" s="20" t="s">
        <v>243</v>
      </c>
      <c r="E30" s="20" t="s">
        <v>244</v>
      </c>
      <c r="F30" s="20" t="s">
        <v>245</v>
      </c>
      <c r="G30" s="20" t="s">
        <v>246</v>
      </c>
      <c r="H30" s="20" t="s">
        <v>247</v>
      </c>
      <c r="I30" s="22"/>
      <c r="J30" s="27" t="s">
        <v>811</v>
      </c>
      <c r="K30" s="22" t="s">
        <v>33</v>
      </c>
      <c r="L30" s="22" t="s">
        <v>248</v>
      </c>
      <c r="M30" s="22" t="s">
        <v>35</v>
      </c>
      <c r="N30" s="22" t="s">
        <v>197</v>
      </c>
      <c r="O30" s="22" t="s">
        <v>35</v>
      </c>
      <c r="P30" s="22" t="s">
        <v>37</v>
      </c>
      <c r="Q30" s="22" t="s">
        <v>35</v>
      </c>
      <c r="R30" s="22" t="s">
        <v>38</v>
      </c>
      <c r="S30" s="22" t="s">
        <v>39</v>
      </c>
      <c r="T30" s="22" t="s">
        <v>40</v>
      </c>
      <c r="U30" s="22" t="s">
        <v>35</v>
      </c>
      <c r="V30" s="22" t="s">
        <v>41</v>
      </c>
    </row>
    <row r="31" spans="1:22" ht="101" customHeight="1" x14ac:dyDescent="0.2">
      <c r="A31" s="22"/>
      <c r="B31" s="22"/>
      <c r="C31" s="22"/>
      <c r="D31" s="20" t="s">
        <v>249</v>
      </c>
      <c r="E31" s="20" t="s">
        <v>250</v>
      </c>
      <c r="F31" s="20" t="s">
        <v>251</v>
      </c>
      <c r="G31" s="20" t="s">
        <v>252</v>
      </c>
      <c r="H31" s="20" t="s">
        <v>253</v>
      </c>
      <c r="I31" s="22"/>
      <c r="J31" s="27" t="s">
        <v>812</v>
      </c>
      <c r="K31" s="22" t="s">
        <v>53</v>
      </c>
      <c r="L31" s="22" t="s">
        <v>935</v>
      </c>
      <c r="M31" s="22" t="s">
        <v>55</v>
      </c>
      <c r="N31" s="22" t="s">
        <v>936</v>
      </c>
      <c r="O31" s="22" t="s">
        <v>35</v>
      </c>
      <c r="P31" s="22" t="s">
        <v>37</v>
      </c>
      <c r="Q31" s="22" t="s">
        <v>55</v>
      </c>
      <c r="R31" s="22" t="s">
        <v>67</v>
      </c>
      <c r="S31" s="22" t="s">
        <v>57</v>
      </c>
      <c r="T31" s="22" t="s">
        <v>256</v>
      </c>
      <c r="U31" s="22" t="s">
        <v>55</v>
      </c>
      <c r="V31" s="22" t="s">
        <v>257</v>
      </c>
    </row>
    <row r="32" spans="1:22" ht="83" customHeight="1" x14ac:dyDescent="0.2">
      <c r="A32" s="22"/>
      <c r="B32" s="22"/>
      <c r="C32" s="22"/>
      <c r="D32" s="20" t="s">
        <v>258</v>
      </c>
      <c r="E32" s="20" t="s">
        <v>259</v>
      </c>
      <c r="F32" s="20" t="s">
        <v>260</v>
      </c>
      <c r="G32" s="20" t="s">
        <v>261</v>
      </c>
      <c r="H32" s="20" t="s">
        <v>262</v>
      </c>
      <c r="I32" s="22"/>
      <c r="J32" s="27" t="s">
        <v>813</v>
      </c>
      <c r="K32" s="22" t="s">
        <v>33</v>
      </c>
      <c r="L32" s="22" t="s">
        <v>263</v>
      </c>
      <c r="M32" s="22" t="s">
        <v>35</v>
      </c>
      <c r="N32" s="22" t="s">
        <v>197</v>
      </c>
      <c r="O32" s="22" t="s">
        <v>35</v>
      </c>
      <c r="P32" s="22" t="s">
        <v>37</v>
      </c>
      <c r="Q32" s="22" t="s">
        <v>35</v>
      </c>
      <c r="R32" s="22" t="s">
        <v>38</v>
      </c>
      <c r="S32" s="22" t="s">
        <v>39</v>
      </c>
      <c r="T32" s="22" t="s">
        <v>40</v>
      </c>
      <c r="U32" s="22" t="s">
        <v>35</v>
      </c>
      <c r="V32" s="22" t="s">
        <v>41</v>
      </c>
    </row>
    <row r="33" spans="1:22" ht="84" customHeight="1" x14ac:dyDescent="0.2">
      <c r="A33" s="19" t="s">
        <v>264</v>
      </c>
      <c r="B33" s="19" t="s">
        <v>265</v>
      </c>
      <c r="C33" s="19" t="s">
        <v>266</v>
      </c>
      <c r="D33" s="20" t="s">
        <v>267</v>
      </c>
      <c r="E33" s="20" t="s">
        <v>268</v>
      </c>
      <c r="F33" s="20" t="s">
        <v>269</v>
      </c>
      <c r="G33" s="20" t="s">
        <v>270</v>
      </c>
      <c r="H33" s="20" t="s">
        <v>271</v>
      </c>
      <c r="I33" s="22"/>
      <c r="J33" s="27" t="s">
        <v>814</v>
      </c>
      <c r="K33" s="22" t="s">
        <v>53</v>
      </c>
      <c r="L33" s="22" t="s">
        <v>937</v>
      </c>
      <c r="M33" s="22" t="s">
        <v>55</v>
      </c>
      <c r="N33" s="22" t="s">
        <v>273</v>
      </c>
      <c r="O33" s="22" t="s">
        <v>35</v>
      </c>
      <c r="P33" s="22" t="s">
        <v>37</v>
      </c>
      <c r="Q33" s="22" t="s">
        <v>35</v>
      </c>
      <c r="R33" s="22" t="s">
        <v>38</v>
      </c>
      <c r="S33" s="22" t="s">
        <v>57</v>
      </c>
      <c r="T33" s="22" t="s">
        <v>274</v>
      </c>
      <c r="U33" s="22" t="s">
        <v>55</v>
      </c>
      <c r="V33" s="22" t="s">
        <v>275</v>
      </c>
    </row>
    <row r="34" spans="1:22" ht="91" customHeight="1" x14ac:dyDescent="0.2">
      <c r="A34" s="22"/>
      <c r="B34" s="22"/>
      <c r="C34" s="22"/>
      <c r="D34" s="20" t="s">
        <v>276</v>
      </c>
      <c r="E34" s="20" t="s">
        <v>277</v>
      </c>
      <c r="F34" s="20" t="s">
        <v>278</v>
      </c>
      <c r="G34" s="20" t="s">
        <v>279</v>
      </c>
      <c r="H34" s="20" t="s">
        <v>280</v>
      </c>
      <c r="I34" s="22"/>
      <c r="J34" s="27" t="s">
        <v>815</v>
      </c>
      <c r="K34" s="22" t="s">
        <v>33</v>
      </c>
      <c r="L34" s="22" t="s">
        <v>896</v>
      </c>
      <c r="M34" s="22" t="s">
        <v>35</v>
      </c>
      <c r="N34" s="22" t="s">
        <v>282</v>
      </c>
      <c r="O34" s="22" t="s">
        <v>35</v>
      </c>
      <c r="P34" s="22" t="s">
        <v>37</v>
      </c>
      <c r="Q34" s="22" t="s">
        <v>35</v>
      </c>
      <c r="R34" s="22" t="s">
        <v>38</v>
      </c>
      <c r="S34" s="22" t="s">
        <v>39</v>
      </c>
      <c r="T34" s="22" t="s">
        <v>40</v>
      </c>
      <c r="U34" s="22" t="s">
        <v>35</v>
      </c>
      <c r="V34" s="22" t="s">
        <v>41</v>
      </c>
    </row>
    <row r="35" spans="1:22" ht="102" customHeight="1" x14ac:dyDescent="0.2">
      <c r="A35" s="22"/>
      <c r="B35" s="22"/>
      <c r="C35" s="22"/>
      <c r="D35" s="20" t="s">
        <v>283</v>
      </c>
      <c r="E35" s="20" t="s">
        <v>284</v>
      </c>
      <c r="F35" s="20" t="s">
        <v>285</v>
      </c>
      <c r="G35" s="20" t="s">
        <v>286</v>
      </c>
      <c r="H35" s="20" t="s">
        <v>287</v>
      </c>
      <c r="I35" s="22"/>
      <c r="J35" s="27" t="s">
        <v>816</v>
      </c>
      <c r="K35" s="22" t="s">
        <v>53</v>
      </c>
      <c r="L35" s="22" t="s">
        <v>938</v>
      </c>
      <c r="M35" s="22" t="s">
        <v>55</v>
      </c>
      <c r="N35" s="22" t="s">
        <v>939</v>
      </c>
      <c r="O35" s="22" t="s">
        <v>35</v>
      </c>
      <c r="P35" s="22" t="s">
        <v>37</v>
      </c>
      <c r="Q35" s="22" t="s">
        <v>35</v>
      </c>
      <c r="R35" s="22" t="s">
        <v>38</v>
      </c>
      <c r="S35" s="22" t="s">
        <v>57</v>
      </c>
      <c r="T35" s="22" t="s">
        <v>940</v>
      </c>
      <c r="U35" s="22" t="s">
        <v>55</v>
      </c>
      <c r="V35" s="22" t="s">
        <v>41</v>
      </c>
    </row>
    <row r="36" spans="1:22" ht="115" customHeight="1" x14ac:dyDescent="0.2">
      <c r="A36" s="22"/>
      <c r="B36" s="22"/>
      <c r="C36" s="22"/>
      <c r="D36" s="20" t="s">
        <v>289</v>
      </c>
      <c r="E36" s="20" t="s">
        <v>290</v>
      </c>
      <c r="F36" s="20" t="s">
        <v>291</v>
      </c>
      <c r="G36" s="20" t="s">
        <v>292</v>
      </c>
      <c r="H36" s="20" t="s">
        <v>293</v>
      </c>
      <c r="I36" s="22"/>
      <c r="J36" s="27" t="s">
        <v>817</v>
      </c>
      <c r="K36" s="22" t="s">
        <v>33</v>
      </c>
      <c r="L36" s="22" t="s">
        <v>294</v>
      </c>
      <c r="M36" s="22" t="s">
        <v>55</v>
      </c>
      <c r="N36" s="22" t="s">
        <v>941</v>
      </c>
      <c r="O36" s="22" t="s">
        <v>35</v>
      </c>
      <c r="P36" s="22" t="s">
        <v>37</v>
      </c>
      <c r="Q36" s="22" t="s">
        <v>55</v>
      </c>
      <c r="R36" s="22" t="s">
        <v>67</v>
      </c>
      <c r="S36" s="22" t="s">
        <v>57</v>
      </c>
      <c r="T36" s="22" t="s">
        <v>296</v>
      </c>
      <c r="U36" s="22" t="s">
        <v>55</v>
      </c>
      <c r="V36" s="22" t="s">
        <v>297</v>
      </c>
    </row>
    <row r="37" spans="1:22" ht="74" customHeight="1" x14ac:dyDescent="0.2">
      <c r="A37" s="22"/>
      <c r="B37" s="22"/>
      <c r="C37" s="22"/>
      <c r="D37" s="20" t="s">
        <v>298</v>
      </c>
      <c r="E37" s="20" t="s">
        <v>299</v>
      </c>
      <c r="F37" s="20" t="s">
        <v>300</v>
      </c>
      <c r="G37" s="20" t="s">
        <v>301</v>
      </c>
      <c r="H37" s="20" t="s">
        <v>302</v>
      </c>
      <c r="I37" s="22"/>
      <c r="J37" s="27" t="s">
        <v>818</v>
      </c>
      <c r="K37" s="22" t="s">
        <v>33</v>
      </c>
      <c r="L37" s="22" t="s">
        <v>303</v>
      </c>
      <c r="M37" s="22" t="s">
        <v>55</v>
      </c>
      <c r="N37" s="22" t="s">
        <v>942</v>
      </c>
      <c r="O37" s="22" t="s">
        <v>35</v>
      </c>
      <c r="P37" s="22" t="s">
        <v>37</v>
      </c>
      <c r="Q37" s="22" t="s">
        <v>35</v>
      </c>
      <c r="R37" s="22" t="s">
        <v>38</v>
      </c>
      <c r="S37" s="22" t="s">
        <v>39</v>
      </c>
      <c r="T37" s="22" t="s">
        <v>40</v>
      </c>
      <c r="U37" s="22" t="s">
        <v>35</v>
      </c>
      <c r="V37" s="22" t="s">
        <v>41</v>
      </c>
    </row>
    <row r="38" spans="1:22" ht="42" customHeight="1" x14ac:dyDescent="0.2">
      <c r="A38" s="22"/>
      <c r="B38" s="22"/>
      <c r="C38" s="22"/>
      <c r="D38" s="20" t="s">
        <v>304</v>
      </c>
      <c r="E38" s="20" t="s">
        <v>305</v>
      </c>
      <c r="F38" s="20" t="s">
        <v>306</v>
      </c>
      <c r="G38" s="20" t="s">
        <v>307</v>
      </c>
      <c r="H38" s="20" t="s">
        <v>308</v>
      </c>
      <c r="I38" s="22"/>
      <c r="J38" s="27" t="s">
        <v>819</v>
      </c>
      <c r="K38" s="22" t="s">
        <v>33</v>
      </c>
      <c r="L38" s="22" t="s">
        <v>309</v>
      </c>
      <c r="M38" s="22" t="s">
        <v>35</v>
      </c>
      <c r="N38" s="22" t="s">
        <v>282</v>
      </c>
      <c r="O38" s="22" t="s">
        <v>35</v>
      </c>
      <c r="P38" s="22" t="s">
        <v>37</v>
      </c>
      <c r="Q38" s="22" t="s">
        <v>35</v>
      </c>
      <c r="R38" s="22" t="s">
        <v>38</v>
      </c>
      <c r="S38" s="22" t="s">
        <v>39</v>
      </c>
      <c r="T38" s="22" t="s">
        <v>40</v>
      </c>
      <c r="U38" s="22" t="s">
        <v>35</v>
      </c>
      <c r="V38" s="22" t="s">
        <v>41</v>
      </c>
    </row>
    <row r="39" spans="1:22" ht="73" customHeight="1" x14ac:dyDescent="0.2">
      <c r="A39" s="22"/>
      <c r="B39" s="22"/>
      <c r="C39" s="22"/>
      <c r="D39" s="20" t="s">
        <v>310</v>
      </c>
      <c r="E39" s="20" t="s">
        <v>311</v>
      </c>
      <c r="F39" s="20" t="s">
        <v>312</v>
      </c>
      <c r="G39" s="20" t="s">
        <v>313</v>
      </c>
      <c r="H39" s="20" t="s">
        <v>314</v>
      </c>
      <c r="I39" s="22"/>
      <c r="J39" s="27" t="s">
        <v>820</v>
      </c>
      <c r="K39" s="22" t="s">
        <v>33</v>
      </c>
      <c r="L39" s="22" t="s">
        <v>315</v>
      </c>
      <c r="M39" s="22" t="s">
        <v>35</v>
      </c>
      <c r="N39" s="22" t="s">
        <v>282</v>
      </c>
      <c r="O39" s="22" t="s">
        <v>35</v>
      </c>
      <c r="P39" s="22" t="s">
        <v>37</v>
      </c>
      <c r="Q39" s="22" t="s">
        <v>35</v>
      </c>
      <c r="R39" s="22" t="s">
        <v>38</v>
      </c>
      <c r="S39" s="22" t="s">
        <v>39</v>
      </c>
      <c r="T39" s="22" t="s">
        <v>40</v>
      </c>
      <c r="U39" s="22" t="s">
        <v>35</v>
      </c>
      <c r="V39" s="22" t="s">
        <v>41</v>
      </c>
    </row>
    <row r="40" spans="1:22" ht="42" customHeight="1" x14ac:dyDescent="0.2">
      <c r="A40" s="22"/>
      <c r="B40" s="22"/>
      <c r="C40" s="22"/>
      <c r="D40" s="20" t="s">
        <v>316</v>
      </c>
      <c r="E40" s="20" t="s">
        <v>317</v>
      </c>
      <c r="F40" s="20" t="s">
        <v>318</v>
      </c>
      <c r="G40" s="20" t="s">
        <v>319</v>
      </c>
      <c r="H40" s="20" t="s">
        <v>320</v>
      </c>
      <c r="I40" s="22"/>
      <c r="J40" s="27" t="s">
        <v>821</v>
      </c>
      <c r="K40" s="22" t="s">
        <v>33</v>
      </c>
      <c r="L40" s="22" t="s">
        <v>321</v>
      </c>
      <c r="M40" s="22" t="s">
        <v>35</v>
      </c>
      <c r="N40" s="22" t="s">
        <v>282</v>
      </c>
      <c r="O40" s="22" t="s">
        <v>35</v>
      </c>
      <c r="P40" s="22" t="s">
        <v>37</v>
      </c>
      <c r="Q40" s="22" t="s">
        <v>35</v>
      </c>
      <c r="R40" s="22" t="s">
        <v>38</v>
      </c>
      <c r="S40" s="22" t="s">
        <v>39</v>
      </c>
      <c r="T40" s="22" t="s">
        <v>40</v>
      </c>
      <c r="U40" s="22" t="s">
        <v>35</v>
      </c>
      <c r="V40" s="22" t="s">
        <v>41</v>
      </c>
    </row>
    <row r="41" spans="1:22" ht="62" customHeight="1" x14ac:dyDescent="0.2">
      <c r="A41" s="22"/>
      <c r="B41" s="22"/>
      <c r="C41" s="22"/>
      <c r="D41" s="20" t="s">
        <v>322</v>
      </c>
      <c r="E41" s="20" t="s">
        <v>323</v>
      </c>
      <c r="F41" s="20" t="s">
        <v>324</v>
      </c>
      <c r="G41" s="20" t="s">
        <v>325</v>
      </c>
      <c r="H41" s="20" t="s">
        <v>326</v>
      </c>
      <c r="I41" s="22"/>
      <c r="J41" s="27" t="s">
        <v>822</v>
      </c>
      <c r="K41" s="22" t="s">
        <v>33</v>
      </c>
      <c r="L41" s="22" t="s">
        <v>327</v>
      </c>
      <c r="M41" s="22" t="s">
        <v>35</v>
      </c>
      <c r="N41" s="22" t="s">
        <v>282</v>
      </c>
      <c r="O41" s="22" t="s">
        <v>35</v>
      </c>
      <c r="P41" s="22" t="s">
        <v>37</v>
      </c>
      <c r="Q41" s="22" t="s">
        <v>35</v>
      </c>
      <c r="R41" s="22" t="s">
        <v>38</v>
      </c>
      <c r="S41" s="22" t="s">
        <v>39</v>
      </c>
      <c r="T41" s="22" t="s">
        <v>40</v>
      </c>
      <c r="U41" s="22" t="s">
        <v>35</v>
      </c>
      <c r="V41" s="22" t="s">
        <v>41</v>
      </c>
    </row>
    <row r="42" spans="1:22" s="14" customFormat="1" ht="76" customHeight="1" x14ac:dyDescent="0.2">
      <c r="A42" s="22"/>
      <c r="B42" s="22"/>
      <c r="C42" s="22"/>
      <c r="D42" s="20" t="s">
        <v>328</v>
      </c>
      <c r="E42" s="20" t="s">
        <v>329</v>
      </c>
      <c r="F42" s="20" t="s">
        <v>330</v>
      </c>
      <c r="G42" s="20" t="s">
        <v>88</v>
      </c>
      <c r="H42" s="20" t="s">
        <v>331</v>
      </c>
      <c r="I42" s="22"/>
      <c r="J42" s="27" t="s">
        <v>823</v>
      </c>
      <c r="K42" s="22" t="s">
        <v>33</v>
      </c>
      <c r="L42" s="22" t="s">
        <v>332</v>
      </c>
      <c r="M42" s="22" t="s">
        <v>35</v>
      </c>
      <c r="N42" s="22" t="s">
        <v>282</v>
      </c>
      <c r="O42" s="22" t="s">
        <v>35</v>
      </c>
      <c r="P42" s="22" t="s">
        <v>37</v>
      </c>
      <c r="Q42" s="22" t="s">
        <v>35</v>
      </c>
      <c r="R42" s="22" t="s">
        <v>38</v>
      </c>
      <c r="S42" s="22" t="s">
        <v>39</v>
      </c>
      <c r="T42" s="22" t="s">
        <v>40</v>
      </c>
      <c r="U42" s="22" t="s">
        <v>35</v>
      </c>
      <c r="V42" s="22" t="s">
        <v>41</v>
      </c>
    </row>
    <row r="43" spans="1:22" ht="42" customHeight="1" x14ac:dyDescent="0.2">
      <c r="A43" s="23" t="s">
        <v>333</v>
      </c>
      <c r="B43" s="23" t="s">
        <v>334</v>
      </c>
      <c r="C43" s="23" t="s">
        <v>335</v>
      </c>
      <c r="D43" s="24" t="s">
        <v>336</v>
      </c>
      <c r="E43" s="24" t="s">
        <v>337</v>
      </c>
      <c r="F43" s="24" t="s">
        <v>338</v>
      </c>
      <c r="G43" s="24" t="s">
        <v>339</v>
      </c>
      <c r="H43" s="24" t="s">
        <v>340</v>
      </c>
      <c r="I43" s="25"/>
      <c r="J43" s="27" t="s">
        <v>824</v>
      </c>
      <c r="K43" s="25" t="s">
        <v>33</v>
      </c>
      <c r="L43" s="25" t="s">
        <v>341</v>
      </c>
      <c r="M43" s="25" t="s">
        <v>35</v>
      </c>
      <c r="N43" s="25" t="s">
        <v>342</v>
      </c>
      <c r="O43" s="25" t="s">
        <v>35</v>
      </c>
      <c r="P43" s="25" t="s">
        <v>37</v>
      </c>
      <c r="Q43" s="25" t="s">
        <v>35</v>
      </c>
      <c r="R43" s="25" t="s">
        <v>38</v>
      </c>
      <c r="S43" s="25" t="s">
        <v>39</v>
      </c>
      <c r="T43" s="25" t="s">
        <v>40</v>
      </c>
      <c r="U43" s="25" t="s">
        <v>35</v>
      </c>
      <c r="V43" s="25" t="s">
        <v>41</v>
      </c>
    </row>
    <row r="44" spans="1:22" ht="105" customHeight="1" x14ac:dyDescent="0.2">
      <c r="A44" s="26"/>
      <c r="B44" s="26"/>
      <c r="C44" s="26"/>
      <c r="D44" s="27" t="s">
        <v>343</v>
      </c>
      <c r="E44" s="27" t="s">
        <v>344</v>
      </c>
      <c r="F44" s="27" t="s">
        <v>345</v>
      </c>
      <c r="G44" s="27" t="s">
        <v>346</v>
      </c>
      <c r="H44" s="27" t="s">
        <v>347</v>
      </c>
      <c r="I44" s="26"/>
      <c r="J44" s="27" t="s">
        <v>825</v>
      </c>
      <c r="K44" s="26" t="s">
        <v>348</v>
      </c>
      <c r="L44" s="26" t="s">
        <v>943</v>
      </c>
      <c r="M44" s="26" t="s">
        <v>350</v>
      </c>
      <c r="N44" s="26" t="s">
        <v>944</v>
      </c>
      <c r="O44" s="26" t="s">
        <v>55</v>
      </c>
      <c r="P44" s="26" t="s">
        <v>888</v>
      </c>
      <c r="Q44" s="26" t="s">
        <v>350</v>
      </c>
      <c r="R44" s="26" t="s">
        <v>945</v>
      </c>
      <c r="S44" s="26" t="s">
        <v>352</v>
      </c>
      <c r="T44" s="26" t="s">
        <v>946</v>
      </c>
      <c r="U44" s="26" t="s">
        <v>350</v>
      </c>
      <c r="V44" s="39" t="s">
        <v>897</v>
      </c>
    </row>
    <row r="45" spans="1:22" ht="42" customHeight="1" x14ac:dyDescent="0.2">
      <c r="A45" s="28"/>
      <c r="B45" s="28"/>
      <c r="C45" s="28"/>
      <c r="D45" s="29" t="s">
        <v>353</v>
      </c>
      <c r="E45" s="29" t="s">
        <v>354</v>
      </c>
      <c r="F45" s="29" t="s">
        <v>355</v>
      </c>
      <c r="G45" s="29" t="s">
        <v>252</v>
      </c>
      <c r="H45" s="29" t="s">
        <v>356</v>
      </c>
      <c r="I45" s="28"/>
      <c r="J45" s="27" t="s">
        <v>826</v>
      </c>
      <c r="K45" s="28" t="s">
        <v>53</v>
      </c>
      <c r="L45" s="28" t="s">
        <v>357</v>
      </c>
      <c r="M45" s="28" t="s">
        <v>55</v>
      </c>
      <c r="N45" s="28" t="s">
        <v>358</v>
      </c>
      <c r="O45" s="28" t="s">
        <v>35</v>
      </c>
      <c r="P45" s="28" t="s">
        <v>37</v>
      </c>
      <c r="Q45" s="28" t="s">
        <v>55</v>
      </c>
      <c r="R45" s="28" t="s">
        <v>67</v>
      </c>
      <c r="S45" s="28" t="s">
        <v>57</v>
      </c>
      <c r="T45" s="28" t="s">
        <v>359</v>
      </c>
      <c r="U45" s="28" t="s">
        <v>55</v>
      </c>
      <c r="V45" s="28" t="s">
        <v>947</v>
      </c>
    </row>
    <row r="46" spans="1:22" ht="42" customHeight="1" x14ac:dyDescent="0.2">
      <c r="A46" s="22"/>
      <c r="B46" s="22"/>
      <c r="C46" s="22"/>
      <c r="D46" s="20" t="s">
        <v>361</v>
      </c>
      <c r="E46" s="20" t="s">
        <v>362</v>
      </c>
      <c r="F46" s="20" t="s">
        <v>363</v>
      </c>
      <c r="G46" s="20" t="s">
        <v>364</v>
      </c>
      <c r="H46" s="20" t="s">
        <v>365</v>
      </c>
      <c r="I46" s="22"/>
      <c r="J46" s="27" t="s">
        <v>827</v>
      </c>
      <c r="K46" s="22" t="s">
        <v>33</v>
      </c>
      <c r="L46" s="22" t="s">
        <v>366</v>
      </c>
      <c r="M46" s="22" t="s">
        <v>35</v>
      </c>
      <c r="N46" s="22" t="s">
        <v>342</v>
      </c>
      <c r="O46" s="22" t="s">
        <v>35</v>
      </c>
      <c r="P46" s="22" t="s">
        <v>37</v>
      </c>
      <c r="Q46" s="22" t="s">
        <v>35</v>
      </c>
      <c r="R46" s="22" t="s">
        <v>38</v>
      </c>
      <c r="S46" s="22" t="s">
        <v>39</v>
      </c>
      <c r="T46" s="22" t="s">
        <v>40</v>
      </c>
      <c r="U46" s="22" t="s">
        <v>35</v>
      </c>
      <c r="V46" s="22" t="s">
        <v>41</v>
      </c>
    </row>
    <row r="47" spans="1:22" ht="81" customHeight="1" x14ac:dyDescent="0.2">
      <c r="A47" s="22"/>
      <c r="B47" s="22"/>
      <c r="C47" s="22"/>
      <c r="D47" s="20" t="s">
        <v>367</v>
      </c>
      <c r="E47" s="20" t="s">
        <v>368</v>
      </c>
      <c r="F47" s="20" t="s">
        <v>369</v>
      </c>
      <c r="G47" s="20" t="s">
        <v>370</v>
      </c>
      <c r="H47" s="20" t="s">
        <v>371</v>
      </c>
      <c r="I47" s="22"/>
      <c r="J47" s="27" t="s">
        <v>828</v>
      </c>
      <c r="K47" s="22" t="s">
        <v>53</v>
      </c>
      <c r="L47" s="22" t="s">
        <v>948</v>
      </c>
      <c r="M47" s="22" t="s">
        <v>55</v>
      </c>
      <c r="N47" s="22" t="s">
        <v>949</v>
      </c>
      <c r="O47" s="22" t="s">
        <v>35</v>
      </c>
      <c r="P47" s="22" t="s">
        <v>37</v>
      </c>
      <c r="Q47" s="22" t="s">
        <v>35</v>
      </c>
      <c r="R47" s="22" t="s">
        <v>38</v>
      </c>
      <c r="S47" s="22" t="s">
        <v>57</v>
      </c>
      <c r="T47" s="28" t="s">
        <v>359</v>
      </c>
      <c r="U47" s="22" t="s">
        <v>35</v>
      </c>
      <c r="V47" s="22" t="s">
        <v>41</v>
      </c>
    </row>
    <row r="48" spans="1:22" ht="72" customHeight="1" x14ac:dyDescent="0.2">
      <c r="A48" s="22"/>
      <c r="B48" s="22"/>
      <c r="C48" s="22"/>
      <c r="D48" s="20" t="s">
        <v>373</v>
      </c>
      <c r="E48" s="20" t="s">
        <v>374</v>
      </c>
      <c r="F48" s="20" t="s">
        <v>375</v>
      </c>
      <c r="G48" s="20" t="s">
        <v>376</v>
      </c>
      <c r="H48" s="20" t="s">
        <v>377</v>
      </c>
      <c r="I48" s="22"/>
      <c r="J48" s="27" t="s">
        <v>829</v>
      </c>
      <c r="K48" s="22" t="s">
        <v>53</v>
      </c>
      <c r="L48" s="22" t="s">
        <v>378</v>
      </c>
      <c r="M48" s="22" t="s">
        <v>55</v>
      </c>
      <c r="N48" s="22" t="s">
        <v>379</v>
      </c>
      <c r="O48" s="22" t="s">
        <v>35</v>
      </c>
      <c r="P48" s="22" t="s">
        <v>37</v>
      </c>
      <c r="Q48" s="22" t="s">
        <v>35</v>
      </c>
      <c r="R48" s="22" t="s">
        <v>38</v>
      </c>
      <c r="S48" s="22" t="s">
        <v>57</v>
      </c>
      <c r="T48" s="22" t="s">
        <v>380</v>
      </c>
      <c r="U48" s="22" t="s">
        <v>55</v>
      </c>
      <c r="V48" s="22" t="s">
        <v>381</v>
      </c>
    </row>
    <row r="49" spans="1:22" ht="78" customHeight="1" x14ac:dyDescent="0.2">
      <c r="A49" s="25"/>
      <c r="B49" s="25"/>
      <c r="C49" s="25"/>
      <c r="D49" s="24" t="s">
        <v>382</v>
      </c>
      <c r="E49" s="24" t="s">
        <v>383</v>
      </c>
      <c r="F49" s="24" t="s">
        <v>384</v>
      </c>
      <c r="G49" s="24" t="s">
        <v>385</v>
      </c>
      <c r="H49" s="24" t="s">
        <v>386</v>
      </c>
      <c r="I49" s="25"/>
      <c r="J49" s="27" t="s">
        <v>830</v>
      </c>
      <c r="K49" s="25" t="s">
        <v>53</v>
      </c>
      <c r="L49" s="25" t="s">
        <v>387</v>
      </c>
      <c r="M49" s="25" t="s">
        <v>55</v>
      </c>
      <c r="N49" s="25" t="s">
        <v>388</v>
      </c>
      <c r="O49" s="25" t="s">
        <v>35</v>
      </c>
      <c r="P49" s="25" t="s">
        <v>37</v>
      </c>
      <c r="Q49" s="25" t="s">
        <v>55</v>
      </c>
      <c r="R49" s="25" t="s">
        <v>67</v>
      </c>
      <c r="S49" s="25" t="s">
        <v>57</v>
      </c>
      <c r="T49" s="25" t="s">
        <v>389</v>
      </c>
      <c r="U49" s="25" t="s">
        <v>55</v>
      </c>
      <c r="V49" s="25" t="s">
        <v>390</v>
      </c>
    </row>
    <row r="50" spans="1:22" ht="99" customHeight="1" x14ac:dyDescent="0.2">
      <c r="A50" s="26"/>
      <c r="B50" s="26"/>
      <c r="C50" s="26"/>
      <c r="D50" s="27" t="s">
        <v>391</v>
      </c>
      <c r="E50" s="27" t="s">
        <v>392</v>
      </c>
      <c r="F50" s="27" t="s">
        <v>393</v>
      </c>
      <c r="G50" s="27" t="s">
        <v>394</v>
      </c>
      <c r="H50" s="27" t="s">
        <v>395</v>
      </c>
      <c r="I50" s="26"/>
      <c r="J50" s="27" t="s">
        <v>831</v>
      </c>
      <c r="K50" s="26" t="s">
        <v>53</v>
      </c>
      <c r="L50" s="26" t="s">
        <v>396</v>
      </c>
      <c r="M50" s="26" t="s">
        <v>55</v>
      </c>
      <c r="N50" s="39" t="s">
        <v>898</v>
      </c>
      <c r="O50" s="26" t="s">
        <v>35</v>
      </c>
      <c r="P50" s="26" t="s">
        <v>888</v>
      </c>
      <c r="Q50" s="26" t="s">
        <v>350</v>
      </c>
      <c r="R50" s="26" t="s">
        <v>351</v>
      </c>
      <c r="S50" s="26" t="s">
        <v>57</v>
      </c>
      <c r="T50" s="26" t="s">
        <v>950</v>
      </c>
      <c r="U50" s="26" t="s">
        <v>55</v>
      </c>
      <c r="V50" s="26" t="s">
        <v>892</v>
      </c>
    </row>
    <row r="51" spans="1:22" ht="83" customHeight="1" x14ac:dyDescent="0.2">
      <c r="A51" s="26"/>
      <c r="B51" s="26"/>
      <c r="C51" s="26"/>
      <c r="D51" s="27" t="s">
        <v>397</v>
      </c>
      <c r="E51" s="27" t="s">
        <v>398</v>
      </c>
      <c r="F51" s="27" t="s">
        <v>399</v>
      </c>
      <c r="G51" s="27" t="s">
        <v>400</v>
      </c>
      <c r="H51" s="27" t="s">
        <v>401</v>
      </c>
      <c r="I51" s="26"/>
      <c r="J51" s="27" t="s">
        <v>832</v>
      </c>
      <c r="K51" s="26" t="s">
        <v>348</v>
      </c>
      <c r="L51" s="26" t="s">
        <v>402</v>
      </c>
      <c r="M51" s="26" t="s">
        <v>350</v>
      </c>
      <c r="N51" s="39" t="s">
        <v>899</v>
      </c>
      <c r="O51" s="26" t="s">
        <v>35</v>
      </c>
      <c r="P51" s="26" t="s">
        <v>888</v>
      </c>
      <c r="Q51" s="26" t="s">
        <v>350</v>
      </c>
      <c r="R51" s="26" t="s">
        <v>351</v>
      </c>
      <c r="S51" s="26" t="s">
        <v>352</v>
      </c>
      <c r="T51" s="39" t="s">
        <v>900</v>
      </c>
      <c r="U51" s="26" t="s">
        <v>350</v>
      </c>
      <c r="V51" s="39" t="s">
        <v>899</v>
      </c>
    </row>
    <row r="52" spans="1:22" ht="106" customHeight="1" x14ac:dyDescent="0.2">
      <c r="A52" s="28"/>
      <c r="B52" s="28"/>
      <c r="C52" s="28"/>
      <c r="D52" s="29" t="s">
        <v>403</v>
      </c>
      <c r="E52" s="29" t="s">
        <v>404</v>
      </c>
      <c r="F52" s="29" t="s">
        <v>405</v>
      </c>
      <c r="G52" s="29" t="s">
        <v>406</v>
      </c>
      <c r="H52" s="29" t="s">
        <v>407</v>
      </c>
      <c r="I52" s="28"/>
      <c r="J52" s="27" t="s">
        <v>833</v>
      </c>
      <c r="K52" s="28" t="s">
        <v>33</v>
      </c>
      <c r="L52" s="28" t="s">
        <v>408</v>
      </c>
      <c r="M52" s="28" t="s">
        <v>35</v>
      </c>
      <c r="N52" s="28" t="s">
        <v>342</v>
      </c>
      <c r="O52" s="28" t="s">
        <v>35</v>
      </c>
      <c r="P52" s="28" t="s">
        <v>37</v>
      </c>
      <c r="Q52" s="28" t="s">
        <v>35</v>
      </c>
      <c r="R52" s="28" t="s">
        <v>38</v>
      </c>
      <c r="S52" s="28" t="s">
        <v>39</v>
      </c>
      <c r="T52" s="28" t="s">
        <v>40</v>
      </c>
      <c r="U52" s="28" t="s">
        <v>35</v>
      </c>
      <c r="V52" s="28" t="s">
        <v>41</v>
      </c>
    </row>
    <row r="53" spans="1:22" ht="42" customHeight="1" x14ac:dyDescent="0.2">
      <c r="A53" s="19" t="s">
        <v>409</v>
      </c>
      <c r="B53" s="19" t="s">
        <v>410</v>
      </c>
      <c r="C53" s="19" t="s">
        <v>411</v>
      </c>
      <c r="D53" s="20" t="s">
        <v>412</v>
      </c>
      <c r="E53" s="20" t="s">
        <v>413</v>
      </c>
      <c r="F53" s="20" t="s">
        <v>193</v>
      </c>
      <c r="G53" s="20" t="s">
        <v>414</v>
      </c>
      <c r="H53" s="20" t="s">
        <v>415</v>
      </c>
      <c r="I53" s="22"/>
      <c r="J53" s="27" t="s">
        <v>834</v>
      </c>
      <c r="K53" s="22" t="s">
        <v>33</v>
      </c>
      <c r="L53" s="22" t="s">
        <v>416</v>
      </c>
      <c r="M53" s="22" t="s">
        <v>35</v>
      </c>
      <c r="N53" s="22" t="s">
        <v>417</v>
      </c>
      <c r="O53" s="22" t="s">
        <v>35</v>
      </c>
      <c r="P53" s="22" t="s">
        <v>37</v>
      </c>
      <c r="Q53" s="22" t="s">
        <v>35</v>
      </c>
      <c r="R53" s="22" t="s">
        <v>38</v>
      </c>
      <c r="S53" s="22" t="s">
        <v>39</v>
      </c>
      <c r="T53" s="22" t="s">
        <v>40</v>
      </c>
      <c r="U53" s="22" t="s">
        <v>35</v>
      </c>
      <c r="V53" s="22" t="s">
        <v>41</v>
      </c>
    </row>
    <row r="54" spans="1:22" ht="42" customHeight="1" x14ac:dyDescent="0.2">
      <c r="A54" s="22"/>
      <c r="B54" s="22"/>
      <c r="C54" s="22"/>
      <c r="D54" s="20" t="s">
        <v>418</v>
      </c>
      <c r="E54" s="20" t="s">
        <v>419</v>
      </c>
      <c r="F54" s="20" t="s">
        <v>420</v>
      </c>
      <c r="G54" s="20" t="s">
        <v>421</v>
      </c>
      <c r="H54" s="20" t="s">
        <v>422</v>
      </c>
      <c r="I54" s="22"/>
      <c r="J54" s="27" t="s">
        <v>835</v>
      </c>
      <c r="K54" s="22" t="s">
        <v>33</v>
      </c>
      <c r="L54" s="22" t="s">
        <v>423</v>
      </c>
      <c r="M54" s="22" t="s">
        <v>55</v>
      </c>
      <c r="N54" s="22" t="s">
        <v>424</v>
      </c>
      <c r="O54" s="22" t="s">
        <v>35</v>
      </c>
      <c r="P54" s="22" t="s">
        <v>37</v>
      </c>
      <c r="Q54" s="22" t="s">
        <v>35</v>
      </c>
      <c r="R54" s="22" t="s">
        <v>38</v>
      </c>
      <c r="S54" s="22" t="s">
        <v>57</v>
      </c>
      <c r="T54" s="22" t="s">
        <v>425</v>
      </c>
      <c r="U54" s="22" t="s">
        <v>55</v>
      </c>
      <c r="V54" s="22" t="s">
        <v>426</v>
      </c>
    </row>
    <row r="55" spans="1:22" ht="42" customHeight="1" x14ac:dyDescent="0.2">
      <c r="A55" s="22"/>
      <c r="B55" s="22"/>
      <c r="C55" s="22"/>
      <c r="D55" s="20" t="s">
        <v>427</v>
      </c>
      <c r="E55" s="20" t="s">
        <v>428</v>
      </c>
      <c r="F55" s="20" t="s">
        <v>429</v>
      </c>
      <c r="G55" s="20" t="s">
        <v>228</v>
      </c>
      <c r="H55" s="20" t="s">
        <v>430</v>
      </c>
      <c r="I55" s="22"/>
      <c r="J55" s="27" t="s">
        <v>836</v>
      </c>
      <c r="K55" s="22" t="s">
        <v>33</v>
      </c>
      <c r="L55" s="22" t="s">
        <v>431</v>
      </c>
      <c r="M55" s="22" t="s">
        <v>55</v>
      </c>
      <c r="N55" s="22" t="s">
        <v>432</v>
      </c>
      <c r="O55" s="22" t="s">
        <v>35</v>
      </c>
      <c r="P55" s="22" t="s">
        <v>37</v>
      </c>
      <c r="Q55" s="22" t="s">
        <v>55</v>
      </c>
      <c r="R55" s="22" t="s">
        <v>67</v>
      </c>
      <c r="S55" s="22" t="s">
        <v>57</v>
      </c>
      <c r="T55" s="22" t="s">
        <v>433</v>
      </c>
      <c r="U55" s="22" t="s">
        <v>55</v>
      </c>
      <c r="V55" s="22" t="s">
        <v>434</v>
      </c>
    </row>
    <row r="56" spans="1:22" ht="42" customHeight="1" x14ac:dyDescent="0.2">
      <c r="A56" s="22"/>
      <c r="B56" s="22"/>
      <c r="C56" s="22"/>
      <c r="D56" s="20" t="s">
        <v>435</v>
      </c>
      <c r="E56" s="20" t="s">
        <v>436</v>
      </c>
      <c r="F56" s="20" t="s">
        <v>437</v>
      </c>
      <c r="G56" s="20" t="s">
        <v>438</v>
      </c>
      <c r="H56" s="20" t="s">
        <v>439</v>
      </c>
      <c r="I56" s="22"/>
      <c r="J56" s="27" t="s">
        <v>837</v>
      </c>
      <c r="K56" s="22" t="s">
        <v>33</v>
      </c>
      <c r="L56" s="22" t="s">
        <v>440</v>
      </c>
      <c r="M56" s="22" t="s">
        <v>35</v>
      </c>
      <c r="N56" s="22" t="s">
        <v>417</v>
      </c>
      <c r="O56" s="22" t="s">
        <v>35</v>
      </c>
      <c r="P56" s="22" t="s">
        <v>37</v>
      </c>
      <c r="Q56" s="22" t="s">
        <v>35</v>
      </c>
      <c r="R56" s="22" t="s">
        <v>38</v>
      </c>
      <c r="S56" s="22" t="s">
        <v>39</v>
      </c>
      <c r="T56" s="22" t="s">
        <v>40</v>
      </c>
      <c r="U56" s="22" t="s">
        <v>35</v>
      </c>
      <c r="V56" s="22" t="s">
        <v>41</v>
      </c>
    </row>
    <row r="57" spans="1:22" ht="42" customHeight="1" x14ac:dyDescent="0.2">
      <c r="A57" s="22"/>
      <c r="B57" s="22"/>
      <c r="C57" s="22"/>
      <c r="D57" s="20" t="s">
        <v>441</v>
      </c>
      <c r="E57" s="20" t="s">
        <v>442</v>
      </c>
      <c r="F57" s="20" t="s">
        <v>443</v>
      </c>
      <c r="G57" s="20" t="s">
        <v>444</v>
      </c>
      <c r="H57" s="20" t="s">
        <v>445</v>
      </c>
      <c r="I57" s="22"/>
      <c r="J57" s="27" t="s">
        <v>838</v>
      </c>
      <c r="K57" s="22" t="s">
        <v>33</v>
      </c>
      <c r="L57" s="22" t="s">
        <v>446</v>
      </c>
      <c r="M57" s="22" t="s">
        <v>35</v>
      </c>
      <c r="N57" s="22" t="s">
        <v>417</v>
      </c>
      <c r="O57" s="22" t="s">
        <v>35</v>
      </c>
      <c r="P57" s="22" t="s">
        <v>37</v>
      </c>
      <c r="Q57" s="22" t="s">
        <v>35</v>
      </c>
      <c r="R57" s="22" t="s">
        <v>38</v>
      </c>
      <c r="S57" s="22" t="s">
        <v>39</v>
      </c>
      <c r="T57" s="22" t="s">
        <v>40</v>
      </c>
      <c r="U57" s="22" t="s">
        <v>35</v>
      </c>
      <c r="V57" s="22" t="s">
        <v>41</v>
      </c>
    </row>
    <row r="58" spans="1:22" ht="42" customHeight="1" x14ac:dyDescent="0.2">
      <c r="A58" s="22"/>
      <c r="B58" s="22"/>
      <c r="C58" s="22"/>
      <c r="D58" s="20" t="s">
        <v>447</v>
      </c>
      <c r="E58" s="20" t="s">
        <v>448</v>
      </c>
      <c r="F58" s="20" t="s">
        <v>449</v>
      </c>
      <c r="G58" s="20" t="s">
        <v>450</v>
      </c>
      <c r="H58" s="20" t="s">
        <v>451</v>
      </c>
      <c r="I58" s="22"/>
      <c r="J58" s="27" t="s">
        <v>839</v>
      </c>
      <c r="K58" s="22" t="s">
        <v>33</v>
      </c>
      <c r="L58" s="22" t="s">
        <v>452</v>
      </c>
      <c r="M58" s="22" t="s">
        <v>35</v>
      </c>
      <c r="N58" s="22" t="s">
        <v>417</v>
      </c>
      <c r="O58" s="22" t="s">
        <v>35</v>
      </c>
      <c r="P58" s="22" t="s">
        <v>37</v>
      </c>
      <c r="Q58" s="22" t="s">
        <v>35</v>
      </c>
      <c r="R58" s="22" t="s">
        <v>38</v>
      </c>
      <c r="S58" s="22" t="s">
        <v>39</v>
      </c>
      <c r="T58" s="22" t="s">
        <v>40</v>
      </c>
      <c r="U58" s="22" t="s">
        <v>35</v>
      </c>
      <c r="V58" s="22" t="s">
        <v>41</v>
      </c>
    </row>
    <row r="59" spans="1:22" ht="42" customHeight="1" x14ac:dyDescent="0.2">
      <c r="A59" s="22"/>
      <c r="B59" s="22"/>
      <c r="C59" s="22"/>
      <c r="D59" s="20" t="s">
        <v>453</v>
      </c>
      <c r="E59" s="20" t="s">
        <v>454</v>
      </c>
      <c r="F59" s="20" t="s">
        <v>455</v>
      </c>
      <c r="G59" s="20" t="s">
        <v>456</v>
      </c>
      <c r="H59" s="20" t="s">
        <v>457</v>
      </c>
      <c r="I59" s="22"/>
      <c r="J59" s="27" t="s">
        <v>840</v>
      </c>
      <c r="K59" s="22" t="s">
        <v>33</v>
      </c>
      <c r="L59" s="22" t="s">
        <v>458</v>
      </c>
      <c r="M59" s="22" t="s">
        <v>35</v>
      </c>
      <c r="N59" s="22" t="s">
        <v>417</v>
      </c>
      <c r="O59" s="22" t="s">
        <v>35</v>
      </c>
      <c r="P59" s="22" t="s">
        <v>37</v>
      </c>
      <c r="Q59" s="22" t="s">
        <v>35</v>
      </c>
      <c r="R59" s="22" t="s">
        <v>38</v>
      </c>
      <c r="S59" s="22" t="s">
        <v>39</v>
      </c>
      <c r="T59" s="22" t="s">
        <v>40</v>
      </c>
      <c r="U59" s="22" t="s">
        <v>35</v>
      </c>
      <c r="V59" s="22" t="s">
        <v>41</v>
      </c>
    </row>
    <row r="60" spans="1:22" ht="42" customHeight="1" x14ac:dyDescent="0.2">
      <c r="A60" s="22"/>
      <c r="B60" s="22"/>
      <c r="C60" s="22"/>
      <c r="D60" s="20" t="s">
        <v>459</v>
      </c>
      <c r="E60" s="20" t="s">
        <v>460</v>
      </c>
      <c r="F60" s="20" t="s">
        <v>461</v>
      </c>
      <c r="G60" s="20" t="s">
        <v>462</v>
      </c>
      <c r="H60" s="20" t="s">
        <v>463</v>
      </c>
      <c r="I60" s="22"/>
      <c r="J60" s="27" t="s">
        <v>841</v>
      </c>
      <c r="K60" s="22" t="s">
        <v>33</v>
      </c>
      <c r="L60" s="22" t="s">
        <v>464</v>
      </c>
      <c r="M60" s="22" t="s">
        <v>35</v>
      </c>
      <c r="N60" s="22" t="s">
        <v>417</v>
      </c>
      <c r="O60" s="22" t="s">
        <v>35</v>
      </c>
      <c r="P60" s="22" t="s">
        <v>37</v>
      </c>
      <c r="Q60" s="22" t="s">
        <v>35</v>
      </c>
      <c r="R60" s="22" t="s">
        <v>38</v>
      </c>
      <c r="S60" s="22" t="s">
        <v>39</v>
      </c>
      <c r="T60" s="22" t="s">
        <v>40</v>
      </c>
      <c r="U60" s="22" t="s">
        <v>35</v>
      </c>
      <c r="V60" s="22" t="s">
        <v>41</v>
      </c>
    </row>
    <row r="61" spans="1:22" ht="42" customHeight="1" x14ac:dyDescent="0.2">
      <c r="A61" s="22"/>
      <c r="B61" s="22"/>
      <c r="C61" s="22"/>
      <c r="D61" s="20" t="s">
        <v>465</v>
      </c>
      <c r="E61" s="20" t="s">
        <v>466</v>
      </c>
      <c r="F61" s="20" t="s">
        <v>467</v>
      </c>
      <c r="G61" s="20" t="s">
        <v>468</v>
      </c>
      <c r="H61" s="20" t="s">
        <v>469</v>
      </c>
      <c r="I61" s="22"/>
      <c r="J61" s="27" t="s">
        <v>842</v>
      </c>
      <c r="K61" s="22" t="s">
        <v>33</v>
      </c>
      <c r="L61" s="22" t="s">
        <v>470</v>
      </c>
      <c r="M61" s="22" t="s">
        <v>35</v>
      </c>
      <c r="N61" s="22" t="s">
        <v>417</v>
      </c>
      <c r="O61" s="22" t="s">
        <v>35</v>
      </c>
      <c r="P61" s="22" t="s">
        <v>37</v>
      </c>
      <c r="Q61" s="22" t="s">
        <v>35</v>
      </c>
      <c r="R61" s="22" t="s">
        <v>38</v>
      </c>
      <c r="S61" s="22" t="s">
        <v>39</v>
      </c>
      <c r="T61" s="22" t="s">
        <v>40</v>
      </c>
      <c r="U61" s="22" t="s">
        <v>35</v>
      </c>
      <c r="V61" s="22" t="s">
        <v>41</v>
      </c>
    </row>
    <row r="62" spans="1:22" ht="42" customHeight="1" x14ac:dyDescent="0.2">
      <c r="A62" s="22"/>
      <c r="B62" s="22"/>
      <c r="C62" s="22"/>
      <c r="D62" s="20" t="s">
        <v>471</v>
      </c>
      <c r="E62" s="20" t="s">
        <v>472</v>
      </c>
      <c r="F62" s="20" t="s">
        <v>473</v>
      </c>
      <c r="G62" s="20" t="s">
        <v>474</v>
      </c>
      <c r="H62" s="20" t="s">
        <v>475</v>
      </c>
      <c r="I62" s="22"/>
      <c r="J62" s="27" t="s">
        <v>843</v>
      </c>
      <c r="K62" s="22" t="s">
        <v>33</v>
      </c>
      <c r="L62" s="22" t="s">
        <v>476</v>
      </c>
      <c r="M62" s="22" t="s">
        <v>35</v>
      </c>
      <c r="N62" s="22" t="s">
        <v>417</v>
      </c>
      <c r="O62" s="22" t="s">
        <v>35</v>
      </c>
      <c r="P62" s="22" t="s">
        <v>37</v>
      </c>
      <c r="Q62" s="22" t="s">
        <v>35</v>
      </c>
      <c r="R62" s="22" t="s">
        <v>38</v>
      </c>
      <c r="S62" s="22" t="s">
        <v>39</v>
      </c>
      <c r="T62" s="22" t="s">
        <v>40</v>
      </c>
      <c r="U62" s="22" t="s">
        <v>35</v>
      </c>
      <c r="V62" s="22" t="s">
        <v>41</v>
      </c>
    </row>
    <row r="63" spans="1:22" ht="42" customHeight="1" x14ac:dyDescent="0.2">
      <c r="A63" s="19" t="s">
        <v>477</v>
      </c>
      <c r="B63" s="19" t="s">
        <v>478</v>
      </c>
      <c r="C63" s="19" t="s">
        <v>479</v>
      </c>
      <c r="D63" s="20" t="s">
        <v>480</v>
      </c>
      <c r="E63" s="20" t="s">
        <v>481</v>
      </c>
      <c r="F63" s="20" t="s">
        <v>166</v>
      </c>
      <c r="G63" s="20" t="s">
        <v>482</v>
      </c>
      <c r="H63" s="20" t="s">
        <v>483</v>
      </c>
      <c r="I63" s="22"/>
      <c r="J63" s="27" t="s">
        <v>844</v>
      </c>
      <c r="K63" s="22" t="s">
        <v>33</v>
      </c>
      <c r="L63" s="22" t="s">
        <v>484</v>
      </c>
      <c r="M63" s="22" t="s">
        <v>35</v>
      </c>
      <c r="N63" s="22" t="s">
        <v>485</v>
      </c>
      <c r="O63" s="22" t="s">
        <v>35</v>
      </c>
      <c r="P63" s="22" t="s">
        <v>37</v>
      </c>
      <c r="Q63" s="22" t="s">
        <v>35</v>
      </c>
      <c r="R63" s="22" t="s">
        <v>38</v>
      </c>
      <c r="S63" s="22" t="s">
        <v>39</v>
      </c>
      <c r="T63" s="22" t="s">
        <v>40</v>
      </c>
      <c r="U63" s="22" t="s">
        <v>35</v>
      </c>
      <c r="V63" s="22" t="s">
        <v>41</v>
      </c>
    </row>
    <row r="64" spans="1:22" ht="42" customHeight="1" x14ac:dyDescent="0.2">
      <c r="A64" s="22"/>
      <c r="B64" s="22"/>
      <c r="C64" s="22"/>
      <c r="D64" s="20" t="s">
        <v>486</v>
      </c>
      <c r="E64" s="20" t="s">
        <v>487</v>
      </c>
      <c r="F64" s="20" t="s">
        <v>178</v>
      </c>
      <c r="G64" s="20" t="s">
        <v>179</v>
      </c>
      <c r="H64" s="20" t="s">
        <v>488</v>
      </c>
      <c r="I64" s="22"/>
      <c r="J64" s="27" t="s">
        <v>845</v>
      </c>
      <c r="K64" s="22" t="s">
        <v>33</v>
      </c>
      <c r="L64" s="22" t="s">
        <v>489</v>
      </c>
      <c r="M64" s="22" t="s">
        <v>35</v>
      </c>
      <c r="N64" s="22" t="s">
        <v>485</v>
      </c>
      <c r="O64" s="22" t="s">
        <v>35</v>
      </c>
      <c r="P64" s="22" t="s">
        <v>37</v>
      </c>
      <c r="Q64" s="22" t="s">
        <v>35</v>
      </c>
      <c r="R64" s="22" t="s">
        <v>38</v>
      </c>
      <c r="S64" s="22" t="s">
        <v>39</v>
      </c>
      <c r="T64" s="22" t="s">
        <v>40</v>
      </c>
      <c r="U64" s="22" t="s">
        <v>35</v>
      </c>
      <c r="V64" s="22" t="s">
        <v>41</v>
      </c>
    </row>
    <row r="65" spans="1:22" ht="42" customHeight="1" x14ac:dyDescent="0.2">
      <c r="A65" s="22"/>
      <c r="B65" s="22"/>
      <c r="C65" s="22"/>
      <c r="D65" s="20" t="s">
        <v>490</v>
      </c>
      <c r="E65" s="20" t="s">
        <v>491</v>
      </c>
      <c r="F65" s="20" t="s">
        <v>492</v>
      </c>
      <c r="G65" s="20" t="s">
        <v>493</v>
      </c>
      <c r="H65" s="20" t="s">
        <v>494</v>
      </c>
      <c r="I65" s="22"/>
      <c r="J65" s="27" t="s">
        <v>846</v>
      </c>
      <c r="K65" s="22" t="s">
        <v>33</v>
      </c>
      <c r="L65" s="22" t="s">
        <v>495</v>
      </c>
      <c r="M65" s="22" t="s">
        <v>35</v>
      </c>
      <c r="N65" s="22" t="s">
        <v>485</v>
      </c>
      <c r="O65" s="22" t="s">
        <v>35</v>
      </c>
      <c r="P65" s="22" t="s">
        <v>37</v>
      </c>
      <c r="Q65" s="22" t="s">
        <v>35</v>
      </c>
      <c r="R65" s="22" t="s">
        <v>38</v>
      </c>
      <c r="S65" s="22" t="s">
        <v>39</v>
      </c>
      <c r="T65" s="22" t="s">
        <v>40</v>
      </c>
      <c r="U65" s="22" t="s">
        <v>35</v>
      </c>
      <c r="V65" s="22" t="s">
        <v>41</v>
      </c>
    </row>
    <row r="66" spans="1:22" ht="136" customHeight="1" x14ac:dyDescent="0.2">
      <c r="A66" s="22"/>
      <c r="B66" s="22"/>
      <c r="C66" s="22"/>
      <c r="D66" s="20" t="s">
        <v>496</v>
      </c>
      <c r="E66" s="20" t="s">
        <v>497</v>
      </c>
      <c r="F66" s="20" t="s">
        <v>291</v>
      </c>
      <c r="G66" s="20" t="s">
        <v>240</v>
      </c>
      <c r="H66" s="20" t="s">
        <v>498</v>
      </c>
      <c r="I66" s="22"/>
      <c r="J66" s="27" t="s">
        <v>847</v>
      </c>
      <c r="K66" s="22" t="s">
        <v>53</v>
      </c>
      <c r="L66" s="22" t="s">
        <v>951</v>
      </c>
      <c r="M66" s="22" t="s">
        <v>55</v>
      </c>
      <c r="N66" s="22" t="s">
        <v>500</v>
      </c>
      <c r="O66" s="22" t="s">
        <v>35</v>
      </c>
      <c r="P66" s="22" t="s">
        <v>37</v>
      </c>
      <c r="Q66" s="22" t="s">
        <v>35</v>
      </c>
      <c r="R66" s="22" t="s">
        <v>38</v>
      </c>
      <c r="S66" s="22" t="s">
        <v>57</v>
      </c>
      <c r="T66" s="22" t="s">
        <v>501</v>
      </c>
      <c r="U66" s="22" t="s">
        <v>55</v>
      </c>
      <c r="V66" s="22" t="s">
        <v>502</v>
      </c>
    </row>
    <row r="67" spans="1:22" ht="78" customHeight="1" x14ac:dyDescent="0.2">
      <c r="A67" s="22"/>
      <c r="B67" s="22"/>
      <c r="C67" s="22"/>
      <c r="D67" s="20" t="s">
        <v>503</v>
      </c>
      <c r="E67" s="20" t="s">
        <v>504</v>
      </c>
      <c r="F67" s="20" t="s">
        <v>505</v>
      </c>
      <c r="G67" s="20" t="s">
        <v>228</v>
      </c>
      <c r="H67" s="20" t="s">
        <v>506</v>
      </c>
      <c r="I67" s="22"/>
      <c r="J67" s="27" t="s">
        <v>848</v>
      </c>
      <c r="K67" s="22" t="s">
        <v>33</v>
      </c>
      <c r="L67" s="22" t="s">
        <v>507</v>
      </c>
      <c r="M67" s="22" t="s">
        <v>35</v>
      </c>
      <c r="N67" s="22" t="s">
        <v>485</v>
      </c>
      <c r="O67" s="22" t="s">
        <v>35</v>
      </c>
      <c r="P67" s="22" t="s">
        <v>37</v>
      </c>
      <c r="Q67" s="22" t="s">
        <v>35</v>
      </c>
      <c r="R67" s="22" t="s">
        <v>38</v>
      </c>
      <c r="S67" s="22" t="s">
        <v>39</v>
      </c>
      <c r="T67" s="22" t="s">
        <v>40</v>
      </c>
      <c r="U67" s="22" t="s">
        <v>35</v>
      </c>
      <c r="V67" s="22" t="s">
        <v>41</v>
      </c>
    </row>
    <row r="68" spans="1:22" ht="139" customHeight="1" x14ac:dyDescent="0.2">
      <c r="A68" s="22"/>
      <c r="B68" s="22"/>
      <c r="C68" s="22"/>
      <c r="D68" s="20" t="s">
        <v>508</v>
      </c>
      <c r="E68" s="20" t="s">
        <v>509</v>
      </c>
      <c r="F68" s="20" t="s">
        <v>510</v>
      </c>
      <c r="G68" s="20" t="s">
        <v>511</v>
      </c>
      <c r="H68" s="20" t="s">
        <v>512</v>
      </c>
      <c r="I68" s="22"/>
      <c r="J68" s="27" t="s">
        <v>849</v>
      </c>
      <c r="K68" s="22" t="s">
        <v>53</v>
      </c>
      <c r="L68" s="22" t="s">
        <v>952</v>
      </c>
      <c r="M68" s="22" t="s">
        <v>55</v>
      </c>
      <c r="N68" s="22" t="s">
        <v>514</v>
      </c>
      <c r="O68" s="22" t="s">
        <v>35</v>
      </c>
      <c r="P68" s="22" t="s">
        <v>37</v>
      </c>
      <c r="Q68" s="22" t="s">
        <v>55</v>
      </c>
      <c r="R68" s="22" t="s">
        <v>38</v>
      </c>
      <c r="S68" s="22" t="s">
        <v>57</v>
      </c>
      <c r="T68" s="22" t="s">
        <v>953</v>
      </c>
      <c r="U68" s="22" t="s">
        <v>55</v>
      </c>
      <c r="V68" s="22" t="s">
        <v>516</v>
      </c>
    </row>
    <row r="69" spans="1:22" ht="93" customHeight="1" x14ac:dyDescent="0.2">
      <c r="A69" s="22"/>
      <c r="B69" s="22"/>
      <c r="C69" s="22"/>
      <c r="D69" s="20" t="s">
        <v>517</v>
      </c>
      <c r="E69" s="20" t="s">
        <v>518</v>
      </c>
      <c r="F69" s="20" t="s">
        <v>519</v>
      </c>
      <c r="G69" s="20" t="s">
        <v>520</v>
      </c>
      <c r="H69" s="20" t="s">
        <v>521</v>
      </c>
      <c r="I69" s="22"/>
      <c r="J69" s="27" t="s">
        <v>850</v>
      </c>
      <c r="K69" s="22" t="s">
        <v>33</v>
      </c>
      <c r="L69" s="22" t="s">
        <v>901</v>
      </c>
      <c r="M69" s="22" t="s">
        <v>35</v>
      </c>
      <c r="N69" s="22" t="s">
        <v>485</v>
      </c>
      <c r="O69" s="22" t="s">
        <v>35</v>
      </c>
      <c r="P69" s="22" t="s">
        <v>37</v>
      </c>
      <c r="Q69" s="22" t="s">
        <v>35</v>
      </c>
      <c r="R69" s="22" t="s">
        <v>38</v>
      </c>
      <c r="S69" s="22" t="s">
        <v>39</v>
      </c>
      <c r="T69" s="22" t="s">
        <v>40</v>
      </c>
      <c r="U69" s="22" t="s">
        <v>35</v>
      </c>
      <c r="V69" s="22" t="s">
        <v>41</v>
      </c>
    </row>
    <row r="70" spans="1:22" ht="42" customHeight="1" x14ac:dyDescent="0.2">
      <c r="A70" s="22"/>
      <c r="B70" s="22"/>
      <c r="C70" s="22"/>
      <c r="D70" s="20" t="s">
        <v>523</v>
      </c>
      <c r="E70" s="20" t="s">
        <v>524</v>
      </c>
      <c r="F70" s="20" t="s">
        <v>525</v>
      </c>
      <c r="G70" s="20" t="s">
        <v>526</v>
      </c>
      <c r="H70" s="20" t="s">
        <v>527</v>
      </c>
      <c r="I70" s="22"/>
      <c r="J70" s="27" t="s">
        <v>851</v>
      </c>
      <c r="K70" s="22" t="s">
        <v>33</v>
      </c>
      <c r="L70" s="22" t="s">
        <v>528</v>
      </c>
      <c r="M70" s="22" t="s">
        <v>35</v>
      </c>
      <c r="N70" s="22" t="s">
        <v>485</v>
      </c>
      <c r="O70" s="22" t="s">
        <v>35</v>
      </c>
      <c r="P70" s="22" t="s">
        <v>37</v>
      </c>
      <c r="Q70" s="22" t="s">
        <v>35</v>
      </c>
      <c r="R70" s="22" t="s">
        <v>38</v>
      </c>
      <c r="S70" s="22" t="s">
        <v>39</v>
      </c>
      <c r="T70" s="22" t="s">
        <v>40</v>
      </c>
      <c r="U70" s="22" t="s">
        <v>35</v>
      </c>
      <c r="V70" s="22" t="s">
        <v>41</v>
      </c>
    </row>
    <row r="71" spans="1:22" ht="114" customHeight="1" x14ac:dyDescent="0.2">
      <c r="A71" s="22"/>
      <c r="B71" s="22"/>
      <c r="C71" s="22"/>
      <c r="D71" s="20" t="s">
        <v>529</v>
      </c>
      <c r="E71" s="20" t="s">
        <v>530</v>
      </c>
      <c r="F71" s="20" t="s">
        <v>531</v>
      </c>
      <c r="G71" s="20" t="s">
        <v>532</v>
      </c>
      <c r="H71" s="20" t="s">
        <v>533</v>
      </c>
      <c r="I71" s="22"/>
      <c r="J71" s="27" t="s">
        <v>852</v>
      </c>
      <c r="K71" s="22" t="s">
        <v>53</v>
      </c>
      <c r="L71" s="22" t="s">
        <v>954</v>
      </c>
      <c r="M71" s="22" t="s">
        <v>55</v>
      </c>
      <c r="N71" s="22" t="s">
        <v>485</v>
      </c>
      <c r="O71" s="22" t="s">
        <v>35</v>
      </c>
      <c r="P71" s="22" t="s">
        <v>37</v>
      </c>
      <c r="Q71" s="22" t="s">
        <v>35</v>
      </c>
      <c r="R71" s="22" t="s">
        <v>38</v>
      </c>
      <c r="S71" s="22" t="s">
        <v>39</v>
      </c>
      <c r="T71" s="22" t="s">
        <v>40</v>
      </c>
      <c r="U71" s="22" t="s">
        <v>55</v>
      </c>
      <c r="V71" s="22" t="s">
        <v>955</v>
      </c>
    </row>
    <row r="72" spans="1:22" ht="42" customHeight="1" x14ac:dyDescent="0.2">
      <c r="A72" s="22"/>
      <c r="B72" s="22"/>
      <c r="C72" s="22"/>
      <c r="D72" s="20" t="s">
        <v>535</v>
      </c>
      <c r="E72" s="20" t="s">
        <v>536</v>
      </c>
      <c r="F72" s="20" t="s">
        <v>537</v>
      </c>
      <c r="G72" s="20" t="s">
        <v>538</v>
      </c>
      <c r="H72" s="20" t="s">
        <v>539</v>
      </c>
      <c r="I72" s="22"/>
      <c r="J72" s="27" t="s">
        <v>853</v>
      </c>
      <c r="K72" s="22" t="s">
        <v>33</v>
      </c>
      <c r="L72" s="22" t="s">
        <v>540</v>
      </c>
      <c r="M72" s="22" t="s">
        <v>35</v>
      </c>
      <c r="N72" s="22" t="s">
        <v>485</v>
      </c>
      <c r="O72" s="22" t="s">
        <v>35</v>
      </c>
      <c r="P72" s="22" t="s">
        <v>37</v>
      </c>
      <c r="Q72" s="22" t="s">
        <v>35</v>
      </c>
      <c r="R72" s="22" t="s">
        <v>38</v>
      </c>
      <c r="S72" s="22" t="s">
        <v>39</v>
      </c>
      <c r="T72" s="22" t="s">
        <v>40</v>
      </c>
      <c r="U72" s="22" t="s">
        <v>35</v>
      </c>
      <c r="V72" s="22" t="s">
        <v>41</v>
      </c>
    </row>
    <row r="73" spans="1:22" ht="42" customHeight="1" x14ac:dyDescent="0.2">
      <c r="A73" s="19" t="s">
        <v>541</v>
      </c>
      <c r="B73" s="19" t="s">
        <v>542</v>
      </c>
      <c r="C73" s="19" t="s">
        <v>543</v>
      </c>
      <c r="D73" s="20" t="s">
        <v>544</v>
      </c>
      <c r="E73" s="20" t="s">
        <v>545</v>
      </c>
      <c r="F73" s="20" t="s">
        <v>233</v>
      </c>
      <c r="G73" s="20" t="s">
        <v>234</v>
      </c>
      <c r="H73" s="20" t="s">
        <v>546</v>
      </c>
      <c r="I73" s="22"/>
      <c r="J73" s="27" t="s">
        <v>854</v>
      </c>
      <c r="K73" s="22" t="s">
        <v>33</v>
      </c>
      <c r="L73" s="22" t="s">
        <v>547</v>
      </c>
      <c r="M73" s="22" t="s">
        <v>35</v>
      </c>
      <c r="N73" s="22" t="s">
        <v>548</v>
      </c>
      <c r="O73" s="22" t="s">
        <v>35</v>
      </c>
      <c r="P73" s="22" t="s">
        <v>37</v>
      </c>
      <c r="Q73" s="22" t="s">
        <v>35</v>
      </c>
      <c r="R73" s="22" t="s">
        <v>38</v>
      </c>
      <c r="S73" s="22" t="s">
        <v>39</v>
      </c>
      <c r="T73" s="22" t="s">
        <v>40</v>
      </c>
      <c r="U73" s="22" t="s">
        <v>35</v>
      </c>
      <c r="V73" s="22" t="s">
        <v>41</v>
      </c>
    </row>
    <row r="74" spans="1:22" ht="79" customHeight="1" x14ac:dyDescent="0.2">
      <c r="A74" s="22"/>
      <c r="B74" s="22"/>
      <c r="C74" s="22"/>
      <c r="D74" s="20" t="s">
        <v>549</v>
      </c>
      <c r="E74" s="20" t="s">
        <v>550</v>
      </c>
      <c r="F74" s="20" t="s">
        <v>551</v>
      </c>
      <c r="G74" s="20" t="s">
        <v>552</v>
      </c>
      <c r="H74" s="20" t="s">
        <v>553</v>
      </c>
      <c r="I74" s="22"/>
      <c r="J74" s="27" t="s">
        <v>855</v>
      </c>
      <c r="K74" s="22" t="s">
        <v>33</v>
      </c>
      <c r="L74" s="22" t="s">
        <v>554</v>
      </c>
      <c r="M74" s="22" t="s">
        <v>35</v>
      </c>
      <c r="N74" s="22" t="s">
        <v>548</v>
      </c>
      <c r="O74" s="22" t="s">
        <v>35</v>
      </c>
      <c r="P74" s="22" t="s">
        <v>37</v>
      </c>
      <c r="Q74" s="22" t="s">
        <v>35</v>
      </c>
      <c r="R74" s="22" t="s">
        <v>38</v>
      </c>
      <c r="S74" s="22" t="s">
        <v>39</v>
      </c>
      <c r="T74" s="22" t="s">
        <v>40</v>
      </c>
      <c r="U74" s="22" t="s">
        <v>35</v>
      </c>
      <c r="V74" s="22" t="s">
        <v>41</v>
      </c>
    </row>
    <row r="75" spans="1:22" ht="76" customHeight="1" x14ac:dyDescent="0.2">
      <c r="A75" s="22"/>
      <c r="B75" s="22"/>
      <c r="C75" s="22"/>
      <c r="D75" s="20" t="s">
        <v>555</v>
      </c>
      <c r="E75" s="20" t="s">
        <v>556</v>
      </c>
      <c r="F75" s="20" t="s">
        <v>209</v>
      </c>
      <c r="G75" s="20" t="s">
        <v>210</v>
      </c>
      <c r="H75" s="20" t="s">
        <v>557</v>
      </c>
      <c r="I75" s="22"/>
      <c r="J75" s="27" t="s">
        <v>856</v>
      </c>
      <c r="K75" s="22" t="s">
        <v>33</v>
      </c>
      <c r="L75" s="22" t="s">
        <v>558</v>
      </c>
      <c r="M75" s="22" t="s">
        <v>55</v>
      </c>
      <c r="N75" s="22" t="s">
        <v>559</v>
      </c>
      <c r="O75" s="22" t="s">
        <v>35</v>
      </c>
      <c r="P75" s="22" t="s">
        <v>37</v>
      </c>
      <c r="Q75" s="22" t="s">
        <v>35</v>
      </c>
      <c r="R75" s="22" t="s">
        <v>38</v>
      </c>
      <c r="S75" s="22" t="s">
        <v>57</v>
      </c>
      <c r="T75" s="22" t="s">
        <v>560</v>
      </c>
      <c r="U75" s="22" t="s">
        <v>55</v>
      </c>
      <c r="V75" s="22" t="s">
        <v>561</v>
      </c>
    </row>
    <row r="76" spans="1:22" ht="84" customHeight="1" x14ac:dyDescent="0.2">
      <c r="A76" s="22"/>
      <c r="B76" s="22"/>
      <c r="C76" s="22"/>
      <c r="D76" s="20" t="s">
        <v>562</v>
      </c>
      <c r="E76" s="20" t="s">
        <v>563</v>
      </c>
      <c r="F76" s="20" t="s">
        <v>564</v>
      </c>
      <c r="G76" s="20" t="s">
        <v>565</v>
      </c>
      <c r="H76" s="20" t="s">
        <v>566</v>
      </c>
      <c r="I76" s="22"/>
      <c r="J76" s="27" t="s">
        <v>857</v>
      </c>
      <c r="K76" s="22" t="s">
        <v>33</v>
      </c>
      <c r="L76" s="22" t="s">
        <v>913</v>
      </c>
      <c r="M76" s="22" t="s">
        <v>55</v>
      </c>
      <c r="N76" s="22" t="s">
        <v>586</v>
      </c>
      <c r="O76" s="22" t="s">
        <v>35</v>
      </c>
      <c r="P76" s="22" t="s">
        <v>37</v>
      </c>
      <c r="Q76" s="22" t="s">
        <v>35</v>
      </c>
      <c r="R76" s="22" t="s">
        <v>38</v>
      </c>
      <c r="S76" s="22" t="s">
        <v>57</v>
      </c>
      <c r="T76" s="22" t="s">
        <v>914</v>
      </c>
      <c r="U76" s="22" t="s">
        <v>35</v>
      </c>
      <c r="V76" s="22" t="s">
        <v>41</v>
      </c>
    </row>
    <row r="77" spans="1:22" ht="81" customHeight="1" x14ac:dyDescent="0.2">
      <c r="A77" s="22"/>
      <c r="B77" s="22"/>
      <c r="C77" s="22"/>
      <c r="D77" s="20" t="s">
        <v>568</v>
      </c>
      <c r="E77" s="20" t="s">
        <v>569</v>
      </c>
      <c r="F77" s="20" t="s">
        <v>570</v>
      </c>
      <c r="G77" s="20" t="s">
        <v>571</v>
      </c>
      <c r="H77" s="20" t="s">
        <v>572</v>
      </c>
      <c r="I77" s="22"/>
      <c r="J77" s="27" t="s">
        <v>858</v>
      </c>
      <c r="K77" s="22" t="s">
        <v>33</v>
      </c>
      <c r="L77" s="22" t="s">
        <v>573</v>
      </c>
      <c r="M77" s="22" t="s">
        <v>35</v>
      </c>
      <c r="N77" s="22" t="s">
        <v>548</v>
      </c>
      <c r="O77" s="22" t="s">
        <v>35</v>
      </c>
      <c r="P77" s="22" t="s">
        <v>37</v>
      </c>
      <c r="Q77" s="22" t="s">
        <v>35</v>
      </c>
      <c r="R77" s="22" t="s">
        <v>38</v>
      </c>
      <c r="S77" s="22" t="s">
        <v>39</v>
      </c>
      <c r="T77" s="22" t="s">
        <v>40</v>
      </c>
      <c r="U77" s="22" t="s">
        <v>35</v>
      </c>
      <c r="V77" s="22" t="s">
        <v>41</v>
      </c>
    </row>
    <row r="78" spans="1:22" ht="96" customHeight="1" x14ac:dyDescent="0.2">
      <c r="A78" s="22"/>
      <c r="B78" s="22"/>
      <c r="C78" s="22"/>
      <c r="D78" s="20" t="s">
        <v>574</v>
      </c>
      <c r="E78" s="20" t="s">
        <v>575</v>
      </c>
      <c r="F78" s="20" t="s">
        <v>576</v>
      </c>
      <c r="G78" s="20" t="s">
        <v>577</v>
      </c>
      <c r="H78" s="20" t="s">
        <v>578</v>
      </c>
      <c r="I78" s="22"/>
      <c r="J78" s="27" t="s">
        <v>859</v>
      </c>
      <c r="K78" s="22" t="s">
        <v>33</v>
      </c>
      <c r="L78" s="22" t="s">
        <v>579</v>
      </c>
      <c r="M78" s="22" t="s">
        <v>35</v>
      </c>
      <c r="N78" s="22" t="s">
        <v>548</v>
      </c>
      <c r="O78" s="22" t="s">
        <v>35</v>
      </c>
      <c r="P78" s="22" t="s">
        <v>37</v>
      </c>
      <c r="Q78" s="22" t="s">
        <v>35</v>
      </c>
      <c r="R78" s="22" t="s">
        <v>38</v>
      </c>
      <c r="S78" s="22" t="s">
        <v>39</v>
      </c>
      <c r="T78" s="22" t="s">
        <v>40</v>
      </c>
      <c r="U78" s="22" t="s">
        <v>35</v>
      </c>
      <c r="V78" s="22" t="s">
        <v>41</v>
      </c>
    </row>
    <row r="79" spans="1:22" ht="147" customHeight="1" x14ac:dyDescent="0.2">
      <c r="A79" s="22"/>
      <c r="B79" s="22"/>
      <c r="C79" s="22"/>
      <c r="D79" s="20" t="s">
        <v>580</v>
      </c>
      <c r="E79" s="20" t="s">
        <v>581</v>
      </c>
      <c r="F79" s="20" t="s">
        <v>582</v>
      </c>
      <c r="G79" s="20" t="s">
        <v>583</v>
      </c>
      <c r="H79" s="20" t="s">
        <v>584</v>
      </c>
      <c r="I79" s="22"/>
      <c r="J79" s="27" t="s">
        <v>860</v>
      </c>
      <c r="K79" s="22" t="s">
        <v>53</v>
      </c>
      <c r="L79" s="22" t="s">
        <v>956</v>
      </c>
      <c r="M79" s="22" t="s">
        <v>55</v>
      </c>
      <c r="N79" s="22" t="s">
        <v>915</v>
      </c>
      <c r="O79" s="22" t="s">
        <v>35</v>
      </c>
      <c r="P79" s="22" t="s">
        <v>37</v>
      </c>
      <c r="Q79" s="22" t="s">
        <v>35</v>
      </c>
      <c r="R79" s="22" t="s">
        <v>38</v>
      </c>
      <c r="S79" s="22" t="s">
        <v>57</v>
      </c>
      <c r="T79" s="22" t="s">
        <v>587</v>
      </c>
      <c r="U79" s="22" t="s">
        <v>55</v>
      </c>
      <c r="V79" s="22" t="s">
        <v>588</v>
      </c>
    </row>
    <row r="80" spans="1:22" ht="90" customHeight="1" x14ac:dyDescent="0.2">
      <c r="A80" s="22"/>
      <c r="B80" s="22"/>
      <c r="C80" s="22"/>
      <c r="D80" s="20" t="s">
        <v>589</v>
      </c>
      <c r="E80" s="20" t="s">
        <v>590</v>
      </c>
      <c r="F80" s="20" t="s">
        <v>591</v>
      </c>
      <c r="G80" s="20" t="s">
        <v>592</v>
      </c>
      <c r="H80" s="20" t="s">
        <v>593</v>
      </c>
      <c r="I80" s="22"/>
      <c r="J80" s="27" t="s">
        <v>861</v>
      </c>
      <c r="K80" s="22" t="s">
        <v>33</v>
      </c>
      <c r="L80" s="22" t="s">
        <v>916</v>
      </c>
      <c r="M80" s="22" t="s">
        <v>55</v>
      </c>
      <c r="N80" s="22" t="s">
        <v>601</v>
      </c>
      <c r="O80" s="22" t="s">
        <v>35</v>
      </c>
      <c r="P80" s="22" t="s">
        <v>37</v>
      </c>
      <c r="Q80" s="22" t="s">
        <v>35</v>
      </c>
      <c r="R80" s="22" t="s">
        <v>38</v>
      </c>
      <c r="S80" s="22" t="s">
        <v>39</v>
      </c>
      <c r="T80" s="22" t="s">
        <v>40</v>
      </c>
      <c r="U80" s="22" t="s">
        <v>55</v>
      </c>
      <c r="V80" s="22" t="s">
        <v>957</v>
      </c>
    </row>
    <row r="81" spans="1:22" ht="67" customHeight="1" x14ac:dyDescent="0.2">
      <c r="A81" s="22"/>
      <c r="B81" s="22"/>
      <c r="C81" s="22"/>
      <c r="D81" s="20" t="s">
        <v>595</v>
      </c>
      <c r="E81" s="20" t="s">
        <v>596</v>
      </c>
      <c r="F81" s="20" t="s">
        <v>597</v>
      </c>
      <c r="G81" s="20" t="s">
        <v>598</v>
      </c>
      <c r="H81" s="20" t="s">
        <v>599</v>
      </c>
      <c r="I81" s="22"/>
      <c r="J81" s="27" t="s">
        <v>862</v>
      </c>
      <c r="K81" s="22" t="s">
        <v>33</v>
      </c>
      <c r="L81" s="22" t="s">
        <v>600</v>
      </c>
      <c r="M81" s="22" t="s">
        <v>55</v>
      </c>
      <c r="N81" s="22" t="s">
        <v>601</v>
      </c>
      <c r="O81" s="22" t="s">
        <v>35</v>
      </c>
      <c r="P81" s="22" t="s">
        <v>37</v>
      </c>
      <c r="Q81" s="22" t="s">
        <v>35</v>
      </c>
      <c r="R81" s="22" t="s">
        <v>38</v>
      </c>
      <c r="S81" s="22" t="s">
        <v>57</v>
      </c>
      <c r="T81" s="22" t="s">
        <v>602</v>
      </c>
      <c r="U81" s="22" t="s">
        <v>55</v>
      </c>
      <c r="V81" s="22" t="s">
        <v>603</v>
      </c>
    </row>
    <row r="82" spans="1:22" ht="123" customHeight="1" x14ac:dyDescent="0.2">
      <c r="A82" s="22"/>
      <c r="B82" s="22"/>
      <c r="C82" s="22"/>
      <c r="D82" s="20" t="s">
        <v>604</v>
      </c>
      <c r="E82" s="20" t="s">
        <v>605</v>
      </c>
      <c r="F82" s="20" t="s">
        <v>606</v>
      </c>
      <c r="G82" s="20" t="s">
        <v>607</v>
      </c>
      <c r="H82" s="20" t="s">
        <v>608</v>
      </c>
      <c r="I82" s="22"/>
      <c r="J82" s="27" t="s">
        <v>863</v>
      </c>
      <c r="K82" s="22" t="s">
        <v>33</v>
      </c>
      <c r="L82" s="22" t="s">
        <v>958</v>
      </c>
      <c r="M82" s="22" t="s">
        <v>55</v>
      </c>
      <c r="N82" s="22" t="s">
        <v>959</v>
      </c>
      <c r="O82" s="22" t="s">
        <v>35</v>
      </c>
      <c r="P82" s="22" t="s">
        <v>37</v>
      </c>
      <c r="Q82" s="22" t="s">
        <v>35</v>
      </c>
      <c r="R82" s="22" t="s">
        <v>38</v>
      </c>
      <c r="S82" s="22" t="s">
        <v>39</v>
      </c>
      <c r="T82" s="22" t="s">
        <v>40</v>
      </c>
      <c r="U82" s="22" t="s">
        <v>35</v>
      </c>
      <c r="V82" s="22" t="s">
        <v>41</v>
      </c>
    </row>
    <row r="83" spans="1:22" ht="87" customHeight="1" x14ac:dyDescent="0.2">
      <c r="A83" s="19" t="s">
        <v>610</v>
      </c>
      <c r="B83" s="19" t="s">
        <v>611</v>
      </c>
      <c r="C83" s="19" t="s">
        <v>612</v>
      </c>
      <c r="D83" s="20" t="s">
        <v>613</v>
      </c>
      <c r="E83" s="20" t="s">
        <v>614</v>
      </c>
      <c r="F83" s="20" t="s">
        <v>62</v>
      </c>
      <c r="G83" s="20" t="s">
        <v>63</v>
      </c>
      <c r="H83" s="20" t="s">
        <v>615</v>
      </c>
      <c r="I83" s="22"/>
      <c r="J83" s="27" t="s">
        <v>864</v>
      </c>
      <c r="K83" s="22" t="s">
        <v>33</v>
      </c>
      <c r="L83" s="22" t="s">
        <v>616</v>
      </c>
      <c r="M83" s="22" t="s">
        <v>55</v>
      </c>
      <c r="N83" s="22" t="s">
        <v>617</v>
      </c>
      <c r="O83" s="22" t="s">
        <v>35</v>
      </c>
      <c r="P83" s="22" t="s">
        <v>37</v>
      </c>
      <c r="Q83" s="22" t="s">
        <v>55</v>
      </c>
      <c r="R83" s="22" t="s">
        <v>67</v>
      </c>
      <c r="S83" s="22" t="s">
        <v>57</v>
      </c>
      <c r="T83" s="22" t="s">
        <v>618</v>
      </c>
      <c r="U83" s="22" t="s">
        <v>55</v>
      </c>
      <c r="V83" s="22" t="s">
        <v>619</v>
      </c>
    </row>
    <row r="84" spans="1:22" ht="88" customHeight="1" x14ac:dyDescent="0.2">
      <c r="A84" s="22"/>
      <c r="B84" s="22"/>
      <c r="C84" s="22"/>
      <c r="D84" s="20" t="s">
        <v>620</v>
      </c>
      <c r="E84" s="20" t="s">
        <v>621</v>
      </c>
      <c r="F84" s="20" t="s">
        <v>622</v>
      </c>
      <c r="G84" s="20" t="s">
        <v>623</v>
      </c>
      <c r="H84" s="20" t="s">
        <v>624</v>
      </c>
      <c r="I84" s="22"/>
      <c r="J84" s="27" t="s">
        <v>865</v>
      </c>
      <c r="K84" s="22" t="s">
        <v>33</v>
      </c>
      <c r="L84" s="22" t="s">
        <v>625</v>
      </c>
      <c r="M84" s="22" t="s">
        <v>55</v>
      </c>
      <c r="N84" s="22" t="s">
        <v>626</v>
      </c>
      <c r="O84" s="22" t="s">
        <v>35</v>
      </c>
      <c r="P84" s="22" t="s">
        <v>37</v>
      </c>
      <c r="Q84" s="22" t="s">
        <v>55</v>
      </c>
      <c r="R84" s="22" t="s">
        <v>67</v>
      </c>
      <c r="S84" s="22" t="s">
        <v>57</v>
      </c>
      <c r="T84" s="22" t="s">
        <v>627</v>
      </c>
      <c r="U84" s="22" t="s">
        <v>55</v>
      </c>
      <c r="V84" s="22" t="s">
        <v>628</v>
      </c>
    </row>
    <row r="85" spans="1:22" ht="82" customHeight="1" x14ac:dyDescent="0.2">
      <c r="A85" s="22"/>
      <c r="B85" s="22"/>
      <c r="C85" s="22"/>
      <c r="D85" s="20" t="s">
        <v>629</v>
      </c>
      <c r="E85" s="20" t="s">
        <v>630</v>
      </c>
      <c r="F85" s="20" t="s">
        <v>631</v>
      </c>
      <c r="G85" s="20" t="s">
        <v>632</v>
      </c>
      <c r="H85" s="20" t="s">
        <v>633</v>
      </c>
      <c r="I85" s="22"/>
      <c r="J85" s="27" t="s">
        <v>866</v>
      </c>
      <c r="K85" s="22" t="s">
        <v>53</v>
      </c>
      <c r="L85" s="22" t="s">
        <v>634</v>
      </c>
      <c r="M85" s="22" t="s">
        <v>55</v>
      </c>
      <c r="N85" s="22" t="s">
        <v>635</v>
      </c>
      <c r="O85" s="22" t="s">
        <v>35</v>
      </c>
      <c r="P85" s="22" t="s">
        <v>37</v>
      </c>
      <c r="Q85" s="22" t="s">
        <v>35</v>
      </c>
      <c r="R85" s="22" t="s">
        <v>38</v>
      </c>
      <c r="S85" s="22" t="s">
        <v>57</v>
      </c>
      <c r="T85" s="22" t="s">
        <v>636</v>
      </c>
      <c r="U85" s="22" t="s">
        <v>55</v>
      </c>
      <c r="V85" s="22" t="s">
        <v>637</v>
      </c>
    </row>
    <row r="86" spans="1:22" ht="76" customHeight="1" x14ac:dyDescent="0.2">
      <c r="A86" s="22"/>
      <c r="B86" s="22"/>
      <c r="C86" s="22"/>
      <c r="D86" s="20" t="s">
        <v>638</v>
      </c>
      <c r="E86" s="20" t="s">
        <v>639</v>
      </c>
      <c r="F86" s="20" t="s">
        <v>640</v>
      </c>
      <c r="G86" s="20" t="s">
        <v>641</v>
      </c>
      <c r="H86" s="20" t="s">
        <v>642</v>
      </c>
      <c r="I86" s="22"/>
      <c r="J86" s="27" t="s">
        <v>867</v>
      </c>
      <c r="K86" s="22" t="s">
        <v>33</v>
      </c>
      <c r="L86" s="22" t="s">
        <v>643</v>
      </c>
      <c r="M86" s="22" t="s">
        <v>35</v>
      </c>
      <c r="N86" s="22" t="s">
        <v>644</v>
      </c>
      <c r="O86" s="22" t="s">
        <v>35</v>
      </c>
      <c r="P86" s="22" t="s">
        <v>37</v>
      </c>
      <c r="Q86" s="22" t="s">
        <v>35</v>
      </c>
      <c r="R86" s="22" t="s">
        <v>38</v>
      </c>
      <c r="S86" s="22" t="s">
        <v>39</v>
      </c>
      <c r="T86" s="22" t="s">
        <v>40</v>
      </c>
      <c r="U86" s="22" t="s">
        <v>35</v>
      </c>
      <c r="V86" s="22" t="s">
        <v>41</v>
      </c>
    </row>
    <row r="87" spans="1:22" ht="96" customHeight="1" x14ac:dyDescent="0.2">
      <c r="A87" s="22"/>
      <c r="B87" s="22"/>
      <c r="C87" s="22"/>
      <c r="D87" s="20" t="s">
        <v>645</v>
      </c>
      <c r="E87" s="20" t="s">
        <v>646</v>
      </c>
      <c r="F87" s="20" t="s">
        <v>178</v>
      </c>
      <c r="G87" s="20" t="s">
        <v>647</v>
      </c>
      <c r="H87" s="20" t="s">
        <v>648</v>
      </c>
      <c r="I87" s="22"/>
      <c r="J87" s="27" t="s">
        <v>868</v>
      </c>
      <c r="K87" s="22" t="s">
        <v>53</v>
      </c>
      <c r="L87" s="22" t="s">
        <v>649</v>
      </c>
      <c r="M87" s="22" t="s">
        <v>55</v>
      </c>
      <c r="N87" s="22" t="s">
        <v>650</v>
      </c>
      <c r="O87" s="22" t="s">
        <v>35</v>
      </c>
      <c r="P87" s="22" t="s">
        <v>37</v>
      </c>
      <c r="Q87" s="22" t="s">
        <v>35</v>
      </c>
      <c r="R87" s="22" t="s">
        <v>38</v>
      </c>
      <c r="S87" s="22" t="s">
        <v>57</v>
      </c>
      <c r="T87" s="22" t="s">
        <v>651</v>
      </c>
      <c r="U87" s="22" t="s">
        <v>55</v>
      </c>
      <c r="V87" s="22" t="s">
        <v>652</v>
      </c>
    </row>
    <row r="88" spans="1:22" ht="102" customHeight="1" x14ac:dyDescent="0.2">
      <c r="A88" s="22"/>
      <c r="B88" s="22"/>
      <c r="C88" s="22"/>
      <c r="D88" s="20" t="s">
        <v>653</v>
      </c>
      <c r="E88" s="20" t="s">
        <v>654</v>
      </c>
      <c r="F88" s="20" t="s">
        <v>655</v>
      </c>
      <c r="G88" s="20" t="s">
        <v>656</v>
      </c>
      <c r="H88" s="20" t="s">
        <v>657</v>
      </c>
      <c r="I88" s="22"/>
      <c r="J88" s="27" t="s">
        <v>869</v>
      </c>
      <c r="K88" s="22" t="s">
        <v>33</v>
      </c>
      <c r="L88" s="22" t="s">
        <v>658</v>
      </c>
      <c r="M88" s="22" t="s">
        <v>55</v>
      </c>
      <c r="N88" s="22" t="s">
        <v>659</v>
      </c>
      <c r="O88" s="22" t="s">
        <v>35</v>
      </c>
      <c r="P88" s="22" t="s">
        <v>37</v>
      </c>
      <c r="Q88" s="22" t="s">
        <v>35</v>
      </c>
      <c r="R88" s="22" t="s">
        <v>38</v>
      </c>
      <c r="S88" s="22" t="s">
        <v>57</v>
      </c>
      <c r="T88" s="22" t="s">
        <v>660</v>
      </c>
      <c r="U88" s="22" t="s">
        <v>55</v>
      </c>
      <c r="V88" s="22" t="s">
        <v>661</v>
      </c>
    </row>
    <row r="89" spans="1:22" ht="84" customHeight="1" x14ac:dyDescent="0.2">
      <c r="A89" s="22"/>
      <c r="B89" s="22"/>
      <c r="C89" s="22"/>
      <c r="D89" s="20" t="s">
        <v>662</v>
      </c>
      <c r="E89" s="20" t="s">
        <v>663</v>
      </c>
      <c r="F89" s="20" t="s">
        <v>664</v>
      </c>
      <c r="G89" s="20" t="s">
        <v>665</v>
      </c>
      <c r="H89" s="20" t="s">
        <v>666</v>
      </c>
      <c r="I89" s="22"/>
      <c r="J89" s="27" t="s">
        <v>870</v>
      </c>
      <c r="K89" s="22" t="s">
        <v>33</v>
      </c>
      <c r="L89" s="22" t="s">
        <v>667</v>
      </c>
      <c r="M89" s="22" t="s">
        <v>35</v>
      </c>
      <c r="N89" s="22" t="s">
        <v>644</v>
      </c>
      <c r="O89" s="22" t="s">
        <v>35</v>
      </c>
      <c r="P89" s="22" t="s">
        <v>37</v>
      </c>
      <c r="Q89" s="22" t="s">
        <v>35</v>
      </c>
      <c r="R89" s="22" t="s">
        <v>38</v>
      </c>
      <c r="S89" s="22" t="s">
        <v>39</v>
      </c>
      <c r="T89" s="22" t="s">
        <v>40</v>
      </c>
      <c r="U89" s="22" t="s">
        <v>35</v>
      </c>
      <c r="V89" s="22" t="s">
        <v>41</v>
      </c>
    </row>
    <row r="90" spans="1:22" ht="42" customHeight="1" x14ac:dyDescent="0.2">
      <c r="A90" s="22"/>
      <c r="B90" s="22"/>
      <c r="C90" s="22"/>
      <c r="D90" s="20" t="s">
        <v>668</v>
      </c>
      <c r="E90" s="20" t="s">
        <v>669</v>
      </c>
      <c r="F90" s="20" t="s">
        <v>670</v>
      </c>
      <c r="G90" s="20" t="s">
        <v>671</v>
      </c>
      <c r="H90" s="20" t="s">
        <v>672</v>
      </c>
      <c r="I90" s="22"/>
      <c r="J90" s="27" t="s">
        <v>871</v>
      </c>
      <c r="K90" s="22" t="s">
        <v>33</v>
      </c>
      <c r="L90" s="22" t="s">
        <v>673</v>
      </c>
      <c r="M90" s="22" t="s">
        <v>35</v>
      </c>
      <c r="N90" s="22" t="s">
        <v>644</v>
      </c>
      <c r="O90" s="22" t="s">
        <v>35</v>
      </c>
      <c r="P90" s="22" t="s">
        <v>37</v>
      </c>
      <c r="Q90" s="22" t="s">
        <v>35</v>
      </c>
      <c r="R90" s="22" t="s">
        <v>38</v>
      </c>
      <c r="S90" s="22" t="s">
        <v>39</v>
      </c>
      <c r="T90" s="22" t="s">
        <v>40</v>
      </c>
      <c r="U90" s="22" t="s">
        <v>35</v>
      </c>
      <c r="V90" s="22" t="s">
        <v>41</v>
      </c>
    </row>
    <row r="91" spans="1:22" ht="73" customHeight="1" x14ac:dyDescent="0.2">
      <c r="A91" s="25"/>
      <c r="B91" s="25"/>
      <c r="C91" s="25"/>
      <c r="D91" s="24" t="s">
        <v>674</v>
      </c>
      <c r="E91" s="24" t="s">
        <v>675</v>
      </c>
      <c r="F91" s="24" t="s">
        <v>676</v>
      </c>
      <c r="G91" s="24" t="s">
        <v>677</v>
      </c>
      <c r="H91" s="24" t="s">
        <v>678</v>
      </c>
      <c r="I91" s="25"/>
      <c r="J91" s="27" t="s">
        <v>872</v>
      </c>
      <c r="K91" s="25" t="s">
        <v>53</v>
      </c>
      <c r="L91" s="25" t="s">
        <v>679</v>
      </c>
      <c r="M91" s="25" t="s">
        <v>55</v>
      </c>
      <c r="N91" s="25" t="s">
        <v>680</v>
      </c>
      <c r="O91" s="25" t="s">
        <v>35</v>
      </c>
      <c r="P91" s="25" t="s">
        <v>37</v>
      </c>
      <c r="Q91" s="25" t="s">
        <v>35</v>
      </c>
      <c r="R91" s="25" t="s">
        <v>38</v>
      </c>
      <c r="S91" s="25" t="s">
        <v>57</v>
      </c>
      <c r="T91" s="25" t="s">
        <v>681</v>
      </c>
      <c r="U91" s="25" t="s">
        <v>55</v>
      </c>
      <c r="V91" s="25" t="s">
        <v>682</v>
      </c>
    </row>
    <row r="92" spans="1:22" ht="42" customHeight="1" x14ac:dyDescent="0.2">
      <c r="A92" s="26"/>
      <c r="B92" s="26"/>
      <c r="C92" s="26"/>
      <c r="D92" s="27" t="s">
        <v>683</v>
      </c>
      <c r="E92" s="27" t="s">
        <v>684</v>
      </c>
      <c r="F92" s="40" t="s">
        <v>918</v>
      </c>
      <c r="G92" s="40" t="s">
        <v>885</v>
      </c>
      <c r="H92" s="40" t="s">
        <v>886</v>
      </c>
      <c r="I92" s="26"/>
      <c r="J92" s="27" t="s">
        <v>873</v>
      </c>
      <c r="K92" s="26" t="s">
        <v>53</v>
      </c>
      <c r="L92" s="26" t="s">
        <v>685</v>
      </c>
      <c r="M92" s="26" t="s">
        <v>55</v>
      </c>
      <c r="N92" s="26" t="s">
        <v>887</v>
      </c>
      <c r="O92" s="26" t="s">
        <v>35</v>
      </c>
      <c r="P92" s="26" t="s">
        <v>888</v>
      </c>
      <c r="Q92" s="26" t="s">
        <v>55</v>
      </c>
      <c r="R92" s="26" t="s">
        <v>889</v>
      </c>
      <c r="S92" s="26" t="s">
        <v>57</v>
      </c>
      <c r="T92" s="26" t="s">
        <v>890</v>
      </c>
      <c r="U92" s="26" t="s">
        <v>55</v>
      </c>
      <c r="V92" s="26" t="s">
        <v>893</v>
      </c>
    </row>
    <row r="93" spans="1:22" ht="83" customHeight="1" x14ac:dyDescent="0.2">
      <c r="A93" s="28" t="s">
        <v>686</v>
      </c>
      <c r="B93" s="31" t="s">
        <v>687</v>
      </c>
      <c r="C93" s="31" t="s">
        <v>688</v>
      </c>
      <c r="D93" s="29" t="s">
        <v>689</v>
      </c>
      <c r="E93" s="29" t="s">
        <v>690</v>
      </c>
      <c r="F93" s="29" t="s">
        <v>691</v>
      </c>
      <c r="G93" s="29" t="s">
        <v>692</v>
      </c>
      <c r="H93" s="29" t="s">
        <v>693</v>
      </c>
      <c r="I93" s="28"/>
      <c r="J93" s="27" t="s">
        <v>874</v>
      </c>
      <c r="K93" s="28" t="s">
        <v>33</v>
      </c>
      <c r="L93" s="29" t="s">
        <v>960</v>
      </c>
      <c r="M93" s="28" t="s">
        <v>35</v>
      </c>
      <c r="N93" s="28" t="s">
        <v>695</v>
      </c>
      <c r="O93" s="28" t="s">
        <v>35</v>
      </c>
      <c r="P93" s="28" t="s">
        <v>37</v>
      </c>
      <c r="Q93" s="28" t="s">
        <v>35</v>
      </c>
      <c r="R93" s="28" t="s">
        <v>38</v>
      </c>
      <c r="S93" s="28" t="s">
        <v>39</v>
      </c>
      <c r="T93" s="28" t="s">
        <v>40</v>
      </c>
      <c r="U93" s="28" t="s">
        <v>35</v>
      </c>
      <c r="V93" s="28" t="s">
        <v>41</v>
      </c>
    </row>
    <row r="94" spans="1:22" ht="87" customHeight="1" x14ac:dyDescent="0.2">
      <c r="A94" s="22"/>
      <c r="B94" s="22"/>
      <c r="C94" s="22"/>
      <c r="D94" s="20" t="s">
        <v>696</v>
      </c>
      <c r="E94" s="20" t="s">
        <v>697</v>
      </c>
      <c r="F94" s="20" t="s">
        <v>698</v>
      </c>
      <c r="G94" s="20" t="s">
        <v>699</v>
      </c>
      <c r="H94" s="20" t="s">
        <v>700</v>
      </c>
      <c r="I94" s="22"/>
      <c r="J94" s="27" t="s">
        <v>875</v>
      </c>
      <c r="K94" s="22" t="s">
        <v>33</v>
      </c>
      <c r="L94" s="20" t="s">
        <v>701</v>
      </c>
      <c r="M94" s="22" t="s">
        <v>35</v>
      </c>
      <c r="N94" s="22" t="s">
        <v>695</v>
      </c>
      <c r="O94" s="22" t="s">
        <v>35</v>
      </c>
      <c r="P94" s="22" t="s">
        <v>37</v>
      </c>
      <c r="Q94" s="22" t="s">
        <v>35</v>
      </c>
      <c r="R94" s="22" t="s">
        <v>38</v>
      </c>
      <c r="S94" s="22" t="s">
        <v>39</v>
      </c>
      <c r="T94" s="22" t="s">
        <v>40</v>
      </c>
      <c r="U94" s="22" t="s">
        <v>35</v>
      </c>
      <c r="V94" s="22" t="s">
        <v>41</v>
      </c>
    </row>
    <row r="95" spans="1:22" ht="114" customHeight="1" x14ac:dyDescent="0.2">
      <c r="A95" s="22"/>
      <c r="B95" s="22"/>
      <c r="C95" s="22"/>
      <c r="D95" s="20" t="s">
        <v>702</v>
      </c>
      <c r="E95" s="20" t="s">
        <v>703</v>
      </c>
      <c r="F95" s="20" t="s">
        <v>704</v>
      </c>
      <c r="G95" s="20" t="s">
        <v>705</v>
      </c>
      <c r="H95" s="20" t="s">
        <v>706</v>
      </c>
      <c r="I95" s="22"/>
      <c r="J95" s="27" t="s">
        <v>876</v>
      </c>
      <c r="K95" s="22" t="s">
        <v>53</v>
      </c>
      <c r="L95" s="20" t="s">
        <v>961</v>
      </c>
      <c r="M95" s="22" t="s">
        <v>55</v>
      </c>
      <c r="N95" s="22" t="s">
        <v>962</v>
      </c>
      <c r="O95" s="22" t="s">
        <v>35</v>
      </c>
      <c r="P95" s="22" t="s">
        <v>37</v>
      </c>
      <c r="Q95" s="22" t="s">
        <v>35</v>
      </c>
      <c r="R95" s="22" t="s">
        <v>38</v>
      </c>
      <c r="S95" s="22" t="s">
        <v>39</v>
      </c>
      <c r="T95" s="22" t="s">
        <v>40</v>
      </c>
      <c r="U95" s="22" t="s">
        <v>35</v>
      </c>
      <c r="V95" s="22" t="s">
        <v>41</v>
      </c>
    </row>
    <row r="96" spans="1:22" ht="90" customHeight="1" x14ac:dyDescent="0.2">
      <c r="A96" s="22"/>
      <c r="B96" s="22"/>
      <c r="C96" s="22"/>
      <c r="D96" s="20" t="s">
        <v>708</v>
      </c>
      <c r="E96" s="20" t="s">
        <v>709</v>
      </c>
      <c r="F96" s="20" t="s">
        <v>710</v>
      </c>
      <c r="G96" s="20" t="s">
        <v>711</v>
      </c>
      <c r="H96" s="20" t="s">
        <v>712</v>
      </c>
      <c r="I96" s="22"/>
      <c r="J96" s="27" t="s">
        <v>877</v>
      </c>
      <c r="K96" s="22" t="s">
        <v>33</v>
      </c>
      <c r="L96" s="20" t="s">
        <v>902</v>
      </c>
      <c r="M96" s="22" t="s">
        <v>35</v>
      </c>
      <c r="N96" s="22" t="s">
        <v>695</v>
      </c>
      <c r="O96" s="22" t="s">
        <v>35</v>
      </c>
      <c r="P96" s="22" t="s">
        <v>37</v>
      </c>
      <c r="Q96" s="22" t="s">
        <v>35</v>
      </c>
      <c r="R96" s="22" t="s">
        <v>38</v>
      </c>
      <c r="S96" s="22" t="s">
        <v>39</v>
      </c>
      <c r="T96" s="22" t="s">
        <v>40</v>
      </c>
      <c r="U96" s="22" t="s">
        <v>35</v>
      </c>
      <c r="V96" s="22" t="s">
        <v>41</v>
      </c>
    </row>
    <row r="97" spans="1:22" ht="102" customHeight="1" x14ac:dyDescent="0.2">
      <c r="A97" s="22"/>
      <c r="B97" s="22"/>
      <c r="C97" s="22"/>
      <c r="D97" s="20" t="s">
        <v>714</v>
      </c>
      <c r="E97" s="20" t="s">
        <v>715</v>
      </c>
      <c r="F97" s="20" t="s">
        <v>716</v>
      </c>
      <c r="G97" s="20" t="s">
        <v>717</v>
      </c>
      <c r="H97" s="20" t="s">
        <v>718</v>
      </c>
      <c r="I97" s="22"/>
      <c r="J97" s="27" t="s">
        <v>878</v>
      </c>
      <c r="K97" s="22" t="s">
        <v>53</v>
      </c>
      <c r="L97" s="20" t="s">
        <v>719</v>
      </c>
      <c r="M97" s="22" t="s">
        <v>35</v>
      </c>
      <c r="N97" s="22" t="s">
        <v>695</v>
      </c>
      <c r="O97" s="22" t="s">
        <v>35</v>
      </c>
      <c r="P97" s="22" t="s">
        <v>37</v>
      </c>
      <c r="Q97" s="22" t="s">
        <v>35</v>
      </c>
      <c r="R97" s="22" t="s">
        <v>38</v>
      </c>
      <c r="S97" s="22" t="s">
        <v>39</v>
      </c>
      <c r="T97" s="22" t="s">
        <v>40</v>
      </c>
      <c r="U97" s="22" t="s">
        <v>35</v>
      </c>
      <c r="V97" s="22" t="s">
        <v>41</v>
      </c>
    </row>
    <row r="98" spans="1:22" ht="70" customHeight="1" x14ac:dyDescent="0.2">
      <c r="A98" s="22"/>
      <c r="B98" s="22"/>
      <c r="C98" s="22"/>
      <c r="D98" s="20" t="s">
        <v>720</v>
      </c>
      <c r="E98" s="20" t="s">
        <v>721</v>
      </c>
      <c r="F98" s="20" t="s">
        <v>722</v>
      </c>
      <c r="G98" s="20" t="s">
        <v>723</v>
      </c>
      <c r="H98" s="20" t="s">
        <v>724</v>
      </c>
      <c r="I98" s="22"/>
      <c r="J98" s="27" t="s">
        <v>879</v>
      </c>
      <c r="K98" s="22" t="s">
        <v>33</v>
      </c>
      <c r="L98" s="20" t="s">
        <v>725</v>
      </c>
      <c r="M98" s="22" t="s">
        <v>35</v>
      </c>
      <c r="N98" s="22" t="s">
        <v>695</v>
      </c>
      <c r="O98" s="22" t="s">
        <v>35</v>
      </c>
      <c r="P98" s="22" t="s">
        <v>37</v>
      </c>
      <c r="Q98" s="22" t="s">
        <v>35</v>
      </c>
      <c r="R98" s="22" t="s">
        <v>38</v>
      </c>
      <c r="S98" s="22" t="s">
        <v>39</v>
      </c>
      <c r="T98" s="22" t="s">
        <v>40</v>
      </c>
      <c r="U98" s="22" t="s">
        <v>35</v>
      </c>
      <c r="V98" s="22" t="s">
        <v>41</v>
      </c>
    </row>
    <row r="99" spans="1:22" ht="81" customHeight="1" x14ac:dyDescent="0.2">
      <c r="A99" s="22"/>
      <c r="B99" s="22"/>
      <c r="C99" s="22"/>
      <c r="D99" s="20" t="s">
        <v>726</v>
      </c>
      <c r="E99" s="20" t="s">
        <v>727</v>
      </c>
      <c r="F99" s="20" t="s">
        <v>728</v>
      </c>
      <c r="G99" s="20" t="s">
        <v>729</v>
      </c>
      <c r="H99" s="20" t="s">
        <v>730</v>
      </c>
      <c r="I99" s="22"/>
      <c r="J99" s="27" t="s">
        <v>880</v>
      </c>
      <c r="K99" s="22" t="s">
        <v>33</v>
      </c>
      <c r="L99" s="20" t="s">
        <v>731</v>
      </c>
      <c r="M99" s="22" t="s">
        <v>55</v>
      </c>
      <c r="N99" s="22" t="s">
        <v>732</v>
      </c>
      <c r="O99" s="22" t="s">
        <v>35</v>
      </c>
      <c r="P99" s="22" t="s">
        <v>37</v>
      </c>
      <c r="Q99" s="22" t="s">
        <v>35</v>
      </c>
      <c r="R99" s="22" t="s">
        <v>38</v>
      </c>
      <c r="S99" s="22" t="s">
        <v>57</v>
      </c>
      <c r="T99" s="22" t="s">
        <v>733</v>
      </c>
      <c r="U99" s="22" t="s">
        <v>55</v>
      </c>
      <c r="V99" s="22" t="s">
        <v>734</v>
      </c>
    </row>
    <row r="100" spans="1:22" ht="87" customHeight="1" x14ac:dyDescent="0.2">
      <c r="A100" s="22"/>
      <c r="B100" s="22"/>
      <c r="C100" s="22"/>
      <c r="D100" s="20" t="s">
        <v>735</v>
      </c>
      <c r="E100" s="20" t="s">
        <v>736</v>
      </c>
      <c r="F100" s="20" t="s">
        <v>737</v>
      </c>
      <c r="G100" s="20" t="s">
        <v>738</v>
      </c>
      <c r="H100" s="20" t="s">
        <v>739</v>
      </c>
      <c r="I100" s="22"/>
      <c r="J100" s="27" t="s">
        <v>881</v>
      </c>
      <c r="K100" s="22" t="s">
        <v>33</v>
      </c>
      <c r="L100" s="20" t="s">
        <v>963</v>
      </c>
      <c r="M100" s="22" t="s">
        <v>35</v>
      </c>
      <c r="N100" s="22" t="s">
        <v>695</v>
      </c>
      <c r="O100" s="22" t="s">
        <v>35</v>
      </c>
      <c r="P100" s="22" t="s">
        <v>37</v>
      </c>
      <c r="Q100" s="22" t="s">
        <v>35</v>
      </c>
      <c r="R100" s="22" t="s">
        <v>38</v>
      </c>
      <c r="S100" s="22" t="s">
        <v>39</v>
      </c>
      <c r="T100" s="22" t="s">
        <v>40</v>
      </c>
      <c r="U100" s="22" t="s">
        <v>35</v>
      </c>
      <c r="V100" s="22" t="s">
        <v>41</v>
      </c>
    </row>
    <row r="101" spans="1:22" ht="85" customHeight="1" x14ac:dyDescent="0.2">
      <c r="A101" s="22"/>
      <c r="B101" s="22"/>
      <c r="C101" s="22"/>
      <c r="D101" s="20" t="s">
        <v>741</v>
      </c>
      <c r="E101" s="20" t="s">
        <v>742</v>
      </c>
      <c r="F101" s="20" t="s">
        <v>743</v>
      </c>
      <c r="G101" s="20" t="s">
        <v>744</v>
      </c>
      <c r="H101" s="20" t="s">
        <v>745</v>
      </c>
      <c r="I101" s="22"/>
      <c r="J101" s="27" t="s">
        <v>882</v>
      </c>
      <c r="K101" s="22" t="s">
        <v>33</v>
      </c>
      <c r="L101" s="20" t="s">
        <v>746</v>
      </c>
      <c r="M101" s="22" t="s">
        <v>35</v>
      </c>
      <c r="N101" s="22" t="s">
        <v>695</v>
      </c>
      <c r="O101" s="22" t="s">
        <v>35</v>
      </c>
      <c r="P101" s="22" t="s">
        <v>37</v>
      </c>
      <c r="Q101" s="22" t="s">
        <v>35</v>
      </c>
      <c r="R101" s="22" t="s">
        <v>38</v>
      </c>
      <c r="S101" s="22" t="s">
        <v>39</v>
      </c>
      <c r="T101" s="22" t="s">
        <v>40</v>
      </c>
      <c r="U101" s="22" t="s">
        <v>35</v>
      </c>
      <c r="V101" s="22" t="s">
        <v>41</v>
      </c>
    </row>
    <row r="102" spans="1:22" ht="118" customHeight="1" x14ac:dyDescent="0.2">
      <c r="A102" s="22"/>
      <c r="B102" s="22"/>
      <c r="C102" s="22"/>
      <c r="D102" s="20" t="s">
        <v>747</v>
      </c>
      <c r="E102" s="20" t="s">
        <v>748</v>
      </c>
      <c r="F102" s="20" t="s">
        <v>749</v>
      </c>
      <c r="G102" s="20" t="s">
        <v>750</v>
      </c>
      <c r="H102" s="20" t="s">
        <v>751</v>
      </c>
      <c r="I102" s="22"/>
      <c r="J102" s="27" t="s">
        <v>884</v>
      </c>
      <c r="K102" s="22" t="s">
        <v>53</v>
      </c>
      <c r="L102" s="20" t="s">
        <v>964</v>
      </c>
      <c r="M102" s="22" t="s">
        <v>55</v>
      </c>
      <c r="N102" s="22" t="s">
        <v>695</v>
      </c>
      <c r="O102" s="22" t="s">
        <v>35</v>
      </c>
      <c r="P102" s="22" t="s">
        <v>37</v>
      </c>
      <c r="Q102" s="22" t="s">
        <v>35</v>
      </c>
      <c r="R102" s="22" t="s">
        <v>38</v>
      </c>
      <c r="S102" s="22" t="s">
        <v>39</v>
      </c>
      <c r="T102" s="22" t="s">
        <v>40</v>
      </c>
      <c r="U102" s="22" t="s">
        <v>35</v>
      </c>
      <c r="V102" s="22" t="s">
        <v>41</v>
      </c>
    </row>
  </sheetData>
  <mergeCells count="1">
    <mergeCell ref="M1:V1"/>
  </mergeCells>
  <conditionalFormatting sqref="K3:K102">
    <cfRule type="expression" dxfId="17" priority="1">
      <formula>K3="Yes"</formula>
    </cfRule>
    <cfRule type="expression" dxfId="16" priority="2">
      <formula>K3="Partial"</formula>
    </cfRule>
    <cfRule type="expression" dxfId="15" priority="3">
      <formula>K3="No"</formula>
    </cfRule>
  </conditionalFormatting>
  <conditionalFormatting sqref="M3:M102">
    <cfRule type="cellIs" dxfId="14" priority="4" operator="equal">
      <formula>"Strong"</formula>
    </cfRule>
    <cfRule type="cellIs" dxfId="13" priority="5" operator="equal">
      <formula>"Acceptable"</formula>
    </cfRule>
    <cfRule type="cellIs" dxfId="12" priority="6" operator="equal">
      <formula>"Weak"</formula>
    </cfRule>
  </conditionalFormatting>
  <conditionalFormatting sqref="O3:O102">
    <cfRule type="cellIs" dxfId="11" priority="7" operator="equal">
      <formula>"Strong"</formula>
    </cfRule>
    <cfRule type="cellIs" dxfId="10" priority="8" operator="equal">
      <formula>"Acceptable"</formula>
    </cfRule>
    <cfRule type="cellIs" dxfId="9" priority="9" operator="equal">
      <formula>"Weak"</formula>
    </cfRule>
  </conditionalFormatting>
  <conditionalFormatting sqref="Q3:Q102">
    <cfRule type="cellIs" dxfId="8" priority="10" operator="equal">
      <formula>"Strong"</formula>
    </cfRule>
    <cfRule type="cellIs" dxfId="7" priority="11" operator="equal">
      <formula>"Acceptable"</formula>
    </cfRule>
    <cfRule type="cellIs" dxfId="6" priority="12" operator="equal">
      <formula>"Weak"</formula>
    </cfRule>
  </conditionalFormatting>
  <conditionalFormatting sqref="S3:S102">
    <cfRule type="cellIs" dxfId="5" priority="16" operator="equal">
      <formula>"Low Risk"</formula>
    </cfRule>
    <cfRule type="cellIs" dxfId="4" priority="17" operator="equal">
      <formula>"Medium Risk"</formula>
    </cfRule>
    <cfRule type="cellIs" dxfId="3" priority="18" operator="equal">
      <formula>"High Risk"</formula>
    </cfRule>
  </conditionalFormatting>
  <conditionalFormatting sqref="U3:U102">
    <cfRule type="cellIs" dxfId="2" priority="13" operator="equal">
      <formula>"Strong"</formula>
    </cfRule>
    <cfRule type="cellIs" dxfId="1" priority="14" operator="equal">
      <formula>"Acceptable"</formula>
    </cfRule>
    <cfRule type="cellIs" dxfId="0" priority="15" operator="equal">
      <formula>"Weak"</formula>
    </cfRule>
  </conditionalFormatting>
  <dataValidations count="3">
    <dataValidation type="list" allowBlank="1" sqref="S3:S102" xr:uid="{298BBC73-B42D-8C42-9953-33E7E6B42FF4}">
      <formula1>"Low Risk,Medium Risk,High Risk"</formula1>
    </dataValidation>
    <dataValidation type="list" allowBlank="1" sqref="M3:M102 U3:U102 Q3:Q102 O3:O102" xr:uid="{2E6DEF45-AE00-334B-B650-B50018FFEEF8}">
      <formula1>"Strong,Acceptable,Weak"</formula1>
    </dataValidation>
    <dataValidation type="list" sqref="K3:K102" xr:uid="{120DE5F7-FAC5-474D-8A46-D09769AD73CA}">
      <formula1>"Yes,Partial,No"</formula1>
    </dataValidation>
  </dataValidation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79CF3-7F84-C941-8A8F-F2B99053E762}">
  <dimension ref="A1:M19"/>
  <sheetViews>
    <sheetView workbookViewId="0">
      <selection activeCell="L22" sqref="L22"/>
    </sheetView>
  </sheetViews>
  <sheetFormatPr baseColWidth="10" defaultRowHeight="16" x14ac:dyDescent="0.2"/>
  <cols>
    <col min="1" max="1" width="20.5" customWidth="1"/>
  </cols>
  <sheetData>
    <row r="1" spans="1:13" x14ac:dyDescent="0.2">
      <c r="A1" t="s">
        <v>966</v>
      </c>
    </row>
    <row r="2" spans="1:13" x14ac:dyDescent="0.2">
      <c r="A2" s="3" t="s">
        <v>13</v>
      </c>
      <c r="B2" s="3" t="s">
        <v>753</v>
      </c>
      <c r="C2" s="3" t="s">
        <v>754</v>
      </c>
      <c r="D2" s="45"/>
    </row>
    <row r="3" spans="1:13" x14ac:dyDescent="0.2">
      <c r="A3" t="s">
        <v>33</v>
      </c>
      <c r="B3">
        <f>COUNTIF('Evaluation by lawyer'!$K$3:$K$102,A3)</f>
        <v>71</v>
      </c>
      <c r="C3" s="4">
        <f>B3/COUNTA('Evaluation by researcher'!$K$3:$K$102)</f>
        <v>0.71</v>
      </c>
      <c r="D3" s="46"/>
    </row>
    <row r="4" spans="1:13" x14ac:dyDescent="0.2">
      <c r="A4" t="s">
        <v>53</v>
      </c>
      <c r="B4">
        <f>COUNTIF('Evaluation by lawyer'!$K$3:$K$102,A4)</f>
        <v>27</v>
      </c>
      <c r="C4" s="4">
        <f>B4/COUNTA('Evaluation by researcher'!$K$3:$K$9102)</f>
        <v>0.27</v>
      </c>
      <c r="D4" s="46"/>
    </row>
    <row r="5" spans="1:13" x14ac:dyDescent="0.2">
      <c r="A5" t="s">
        <v>348</v>
      </c>
      <c r="B5">
        <f>COUNTIF('Evaluation by lawyer'!$K$3:$K$102,A5)</f>
        <v>2</v>
      </c>
      <c r="C5" s="4">
        <f>B5/COUNTA('Evaluation by researcher'!$K$3:$K$92)</f>
        <v>2.2222222222222223E-2</v>
      </c>
      <c r="D5" s="46"/>
    </row>
    <row r="6" spans="1:13" x14ac:dyDescent="0.2">
      <c r="A6" t="s">
        <v>759</v>
      </c>
      <c r="B6">
        <v>100</v>
      </c>
    </row>
    <row r="12" spans="1:13" x14ac:dyDescent="0.2">
      <c r="A12" s="1"/>
      <c r="B12" s="1"/>
      <c r="C12" s="1"/>
      <c r="D12" s="1"/>
      <c r="E12" s="1"/>
      <c r="F12" s="1"/>
      <c r="G12" s="1"/>
      <c r="H12" s="1"/>
      <c r="I12" s="1"/>
      <c r="J12" s="1"/>
      <c r="K12" s="1"/>
      <c r="L12" s="1"/>
      <c r="M12" s="1"/>
    </row>
    <row r="13" spans="1:13" x14ac:dyDescent="0.2">
      <c r="A13" s="43" t="s">
        <v>967</v>
      </c>
    </row>
    <row r="14" spans="1:13" ht="34" x14ac:dyDescent="0.2">
      <c r="A14" s="5" t="s">
        <v>760</v>
      </c>
      <c r="B14" s="5" t="s">
        <v>35</v>
      </c>
      <c r="C14" s="5" t="s">
        <v>55</v>
      </c>
      <c r="D14" s="5" t="s">
        <v>350</v>
      </c>
      <c r="E14" s="5" t="s">
        <v>39</v>
      </c>
      <c r="F14" s="5" t="s">
        <v>57</v>
      </c>
      <c r="G14" s="5" t="s">
        <v>352</v>
      </c>
    </row>
    <row r="15" spans="1:13" ht="17" x14ac:dyDescent="0.2">
      <c r="A15" s="11" t="s">
        <v>15</v>
      </c>
      <c r="B15" s="12">
        <f>COUNTIF('Evaluation by lawyer'!M3:M102,"Strong")</f>
        <v>53</v>
      </c>
      <c r="C15" s="12">
        <f>COUNTIF('Evaluation by lawyer'!M3:M102,"Acceptable")</f>
        <v>44</v>
      </c>
      <c r="D15" s="12">
        <f>COUNTIF('Evaluation by lawyer'!M3:M102,"Weak")</f>
        <v>3</v>
      </c>
      <c r="E15" s="11"/>
      <c r="F15" s="11"/>
      <c r="G15" s="11"/>
    </row>
    <row r="16" spans="1:13" ht="17" x14ac:dyDescent="0.2">
      <c r="A16" s="11" t="s">
        <v>17</v>
      </c>
      <c r="B16" s="12">
        <f>COUNTIF('Evaluation by lawyer'!O3:O102,"Strong")</f>
        <v>99</v>
      </c>
      <c r="C16" s="12">
        <f>COUNTIF('Evaluation by lawyer'!O3:O102,"Acceptable")</f>
        <v>1</v>
      </c>
      <c r="D16" s="12">
        <f>COUNTIF('Evaluation by lawyer'!O4:O103,"Weak")</f>
        <v>0</v>
      </c>
      <c r="E16" s="11"/>
      <c r="F16" s="11"/>
      <c r="G16" s="11"/>
    </row>
    <row r="17" spans="1:7" ht="17" x14ac:dyDescent="0.2">
      <c r="A17" s="11" t="s">
        <v>19</v>
      </c>
      <c r="B17">
        <f>COUNTIF('Evaluation by lawyer'!Q3:Q102,"Strong")</f>
        <v>84</v>
      </c>
      <c r="C17" s="12">
        <f>COUNTIF('Evaluation by lawyer'!Q3:Q102,"Acceptable")</f>
        <v>13</v>
      </c>
      <c r="D17" s="12">
        <f>COUNTIF('Evaluation by lawyer'!Q3:Q104,"Weak")</f>
        <v>3</v>
      </c>
      <c r="E17" s="11"/>
      <c r="F17" s="11"/>
      <c r="G17" s="11"/>
    </row>
    <row r="18" spans="1:7" ht="17" x14ac:dyDescent="0.2">
      <c r="A18" s="11" t="s">
        <v>21</v>
      </c>
      <c r="B18" s="12"/>
      <c r="C18" s="12"/>
      <c r="D18" s="12"/>
      <c r="E18" s="11">
        <f>COUNTIF('Evaluation by lawyer'!S3:S102,"Low Risk")</f>
        <v>61</v>
      </c>
      <c r="F18" s="11">
        <f>COUNTIF('Evaluation by lawyer'!S3:S102,"Medium Risk")</f>
        <v>36</v>
      </c>
      <c r="G18" s="11">
        <f>COUNTIF('Evaluation by lawyer'!S3:S102,"High Risk")</f>
        <v>3</v>
      </c>
    </row>
    <row r="19" spans="1:7" ht="17" x14ac:dyDescent="0.2">
      <c r="A19" s="11" t="s">
        <v>23</v>
      </c>
      <c r="B19" s="12">
        <f>COUNTIF('Evaluation by lawyer'!U3:U102,"Strong")</f>
        <v>59</v>
      </c>
      <c r="C19" s="12">
        <f>COUNTIF('Evaluation by lawyer'!U3:U105,"Acceptable")</f>
        <v>37</v>
      </c>
      <c r="D19" s="12">
        <f>COUNTIF('Evaluation by lawyer'!U3:U106,"Weak")</f>
        <v>4</v>
      </c>
      <c r="E19" s="11"/>
      <c r="F19" s="11"/>
      <c r="G19" s="11"/>
    </row>
  </sheetData>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Evaluation by researcher</vt:lpstr>
      <vt:lpstr>Evaluation Result by researcher</vt:lpstr>
      <vt:lpstr>Review Framework</vt:lpstr>
      <vt:lpstr>Evaluation by lawyer</vt:lpstr>
      <vt:lpstr>Evaluation Result by lawyer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Chalisa Sillberg (TAU)</cp:lastModifiedBy>
  <dcterms:created xsi:type="dcterms:W3CDTF">2026-05-15T08:06:17Z</dcterms:created>
  <dcterms:modified xsi:type="dcterms:W3CDTF">2026-09-21T11:08:23Z</dcterms:modified>
</cp:coreProperties>
</file>