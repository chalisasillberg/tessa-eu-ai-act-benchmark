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scs486/Documents/GENT/TESSA/Evaluation/"/>
    </mc:Choice>
  </mc:AlternateContent>
  <xr:revisionPtr revIDLastSave="0" documentId="13_ncr:1_{F05EE6D6-4C9A-964E-ADC5-057E1831840C}" xr6:coauthVersionLast="47" xr6:coauthVersionMax="47" xr10:uidLastSave="{00000000-0000-0000-0000-000000000000}"/>
  <bookViews>
    <workbookView xWindow="35920" yWindow="1180" windowWidth="45240" windowHeight="23680" xr2:uid="{00000000-000D-0000-FFFF-FFFF00000000}"/>
  </bookViews>
  <sheets>
    <sheet name="Evaluation by researcher" sheetId="1" r:id="rId1"/>
    <sheet name="Evaluation Result by researcher" sheetId="2" r:id="rId2"/>
    <sheet name="Review Framework" sheetId="4" r:id="rId3"/>
    <sheet name="Evaluation by lawyer" sheetId="8" r:id="rId4"/>
    <sheet name="Evaluation Result by lawyer" sheetId="10" r:id="rId5"/>
  </sheets>
  <definedNames>
    <definedName name="_xlnm._FilterDatabase" localSheetId="0" hidden="1">'Evaluation by researcher'!$A$2:$V$102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0" l="1"/>
  <c r="D15" i="10"/>
  <c r="D16" i="10"/>
  <c r="D18" i="10"/>
  <c r="B5" i="10"/>
  <c r="C5" i="10" s="1"/>
  <c r="B4" i="10"/>
  <c r="C4" i="10" s="1"/>
  <c r="B4" i="2"/>
  <c r="C4" i="2" s="1"/>
  <c r="B3" i="10"/>
  <c r="C3" i="10" s="1"/>
  <c r="B3" i="2"/>
  <c r="C3" i="2" s="1"/>
  <c r="D18" i="2"/>
  <c r="C18" i="2"/>
  <c r="B18" i="2"/>
  <c r="G17" i="2"/>
  <c r="F17" i="2"/>
  <c r="E17" i="2"/>
  <c r="D15" i="2"/>
  <c r="C15" i="2"/>
  <c r="B15" i="2"/>
  <c r="D16" i="2"/>
  <c r="C16" i="2"/>
  <c r="B16" i="2"/>
  <c r="D14" i="2"/>
  <c r="C14" i="2"/>
  <c r="B14" i="2"/>
  <c r="C18" i="10"/>
  <c r="C16" i="10"/>
  <c r="G17" i="10"/>
  <c r="F17" i="10"/>
  <c r="E17" i="10"/>
  <c r="B18" i="10"/>
  <c r="B16" i="10"/>
  <c r="C15" i="10"/>
  <c r="B15" i="10"/>
  <c r="C14" i="10"/>
  <c r="B14" i="10"/>
  <c r="B5" i="2"/>
  <c r="C5" i="2" s="1"/>
</calcChain>
</file>

<file path=xl/sharedStrings.xml><?xml version="1.0" encoding="utf-8"?>
<sst xmlns="http://schemas.openxmlformats.org/spreadsheetml/2006/main" count="3792" uniqueCount="798">
  <si>
    <t>Step 1</t>
  </si>
  <si>
    <t>Step 2</t>
  </si>
  <si>
    <t>Step 2 Evaluation</t>
  </si>
  <si>
    <t>Step 3 Educational AI Governance Review (Five-Part Framework)</t>
  </si>
  <si>
    <t>Scenario</t>
  </si>
  <si>
    <t>Purpose</t>
  </si>
  <si>
    <t>Why it matter</t>
  </si>
  <si>
    <t>ID</t>
  </si>
  <si>
    <t>Question</t>
  </si>
  <si>
    <t>Book Chapter / Section</t>
  </si>
  <si>
    <t>Official Source</t>
  </si>
  <si>
    <t>Expected Outcome (Ground Truth)</t>
  </si>
  <si>
    <t>Match Level</t>
  </si>
  <si>
    <t>Short Reviewer Note</t>
  </si>
  <si>
    <t>Legal Alignment</t>
  </si>
  <si>
    <t>Legal Alignment Justification</t>
  </si>
  <si>
    <t>Educational Clarity</t>
  </si>
  <si>
    <t>Educational Clarity Justification</t>
  </si>
  <si>
    <t>Governance Suitability</t>
  </si>
  <si>
    <t>Governance Suitability Justification</t>
  </si>
  <si>
    <t>Hallucination Risk</t>
  </si>
  <si>
    <t>Hallucination Risk Justification</t>
  </si>
  <si>
    <t>Overall Assessment</t>
  </si>
  <si>
    <t>Concise Reviewer Note</t>
  </si>
  <si>
    <t>AI literacy</t>
  </si>
  <si>
    <t>Tests whether TESSA can correctly explain core EU AI Act terminology and concepts</t>
  </si>
  <si>
    <t>Demonstrates foundational legal and conceptual accuracy</t>
  </si>
  <si>
    <t>A1</t>
  </si>
  <si>
    <t>What is an AI system under the EU AI Act?</t>
  </si>
  <si>
    <t>Chapter 1 — Introduction → EU AI Act scope and AI system definition context</t>
  </si>
  <si>
    <t>EU AI Act — Article 3(1): Definition of an AI System</t>
  </si>
  <si>
    <t>Yes</t>
  </si>
  <si>
    <t>Strong</t>
  </si>
  <si>
    <t>Low Risk</t>
  </si>
  <si>
    <t>A2</t>
  </si>
  <si>
    <t>What is the difference between minimal-risk and high-risk AI?</t>
  </si>
  <si>
    <t>Chapter 1 — Risk Categories under the EU AI Act; Chapter 3.1 — Risk-Based Regulatory Compliance Systems</t>
  </si>
  <si>
    <t>EU AI Act — Article 6: Classification Rules for High-Risk AI Systems; Annex III: High-Risk Use Cases</t>
  </si>
  <si>
    <t>A3</t>
  </si>
  <si>
    <t>What are prohibited AI practices under the EU AI Act?</t>
  </si>
  <si>
    <t>Chapter 1 — Unacceptable-Risk AI Systems</t>
  </si>
  <si>
    <t>EU AI Act — Article 5: Prohibited AI Practices</t>
  </si>
  <si>
    <t>Partial</t>
  </si>
  <si>
    <t>Acceptable</t>
  </si>
  <si>
    <t>Medium Risk</t>
  </si>
  <si>
    <t>A4</t>
  </si>
  <si>
    <t>What is a GPAI (General-Purpose AI) model?</t>
  </si>
  <si>
    <t>Chapter 3.1 — Governance of Advanced AI Models and Systems</t>
  </si>
  <si>
    <t>EU AI Act — Article 3(63): Definition of a General-Purpose AI Model</t>
  </si>
  <si>
    <t>The response is broadly governance-oriented, but it would benefit from more concrete practical safeguards, role clarity, or proportional next steps.</t>
  </si>
  <si>
    <t>A5</t>
  </si>
  <si>
    <t>What transparency obligations apply to AI systems?</t>
  </si>
  <si>
    <t>Chapter 2.3 — Tools for AI Compliance and Ethical AI Practices</t>
  </si>
  <si>
    <t>EU AI Act — Article 13: Transparency and Provision of Information to Users; Article 50: Transparency Obligations for Certain AI Systems</t>
  </si>
  <si>
    <t>A6</t>
  </si>
  <si>
    <t>What is human oversight in AI systems?</t>
  </si>
  <si>
    <t>Chapter 2.1.2 — Reducing Liability Through AI Risk Mitigation</t>
  </si>
  <si>
    <t>EU AI Act — Article 14: Human Oversight Requirements for High-Risk AI Systems</t>
  </si>
  <si>
    <t>A7</t>
  </si>
  <si>
    <t>What does AI literacy mean under the EU AI Act?</t>
  </si>
  <si>
    <t>Chapter 3.2 — Ethical Frameworks and Responsible AI Governance</t>
  </si>
  <si>
    <t>EU AI Act — Article 4: AI Literacy</t>
  </si>
  <si>
    <t>A8</t>
  </si>
  <si>
    <t>What is biometric identification in AI systems?</t>
  </si>
  <si>
    <t>Chapter 1 — Biometric Identification and Sensitive AI Uses</t>
  </si>
  <si>
    <t>EU AI Act — Article 3: Definitions Related to Biometric Identification; Annex III, Point 1: Biometric Identification and Categorisation of Natural Persons</t>
  </si>
  <si>
    <t>A9</t>
  </si>
  <si>
    <t>What is the purpose of Annex III in the EU AI Act?</t>
  </si>
  <si>
    <t>Chapter 3.1 — Classification of High-Risk AI Systems</t>
  </si>
  <si>
    <t>EU AI Act — Article 6(2): High-Risk Classification Rules; Annex III: High-Risk AI Use Cases</t>
  </si>
  <si>
    <t>A10</t>
  </si>
  <si>
    <t>Who can be considered a provider or deployer of an AI system?</t>
  </si>
  <si>
    <t>Chapter 2.1.1 — Understanding AI Liability under the EU AI Act</t>
  </si>
  <si>
    <t>EU AI Act — Article 3(3): Definition of Provider; Article 3(4): Definition of Deployer</t>
  </si>
  <si>
    <t>Start up/Student projects</t>
  </si>
  <si>
    <t>Tests whether TESSA can apply AI Act concepts to realistic educational/student use cases</t>
  </si>
  <si>
    <t>Shows practical applicability in academic environments</t>
  </si>
  <si>
    <t>S1</t>
  </si>
  <si>
    <t>Start up/Student develop an AI chatbot for answering university FAQs. Does this raise compliance concerns?</t>
  </si>
  <si>
    <t>Chapter 2.3 — AI Compliance Tools and Responsible Development</t>
  </si>
  <si>
    <t>EU AI Act — Article 50: Transparency Obligations for AI Systems Interacting with Natural Persons</t>
  </si>
  <si>
    <t>S2</t>
  </si>
  <si>
    <t>Start up/Student project uses facial recognition for classroom attendance. What EU AI Act issues may apply?</t>
  </si>
  <si>
    <t>Chapter 1 — Biometric Identification Risks</t>
  </si>
  <si>
    <t>EU AI Act — Annex III, Point 1: Biometric Identification Systems; Article 5: Prohibited AI Practices</t>
  </si>
  <si>
    <t>Some overgeneralisation, ambiguity, or unsupported assumption is present. Identifies the key concerns but should distinguish biometric identification from verification and avoid implying all facial-recognition attendance systems are automatically high-risk.</t>
  </si>
  <si>
    <t>S3</t>
  </si>
  <si>
    <t>Start up/Student create an AI tool to predict student grades. Could this be considered high-risk AI?</t>
  </si>
  <si>
    <t>Chapter 3.1 — High-Risk AI Classification and Educational Contexts</t>
  </si>
  <si>
    <t>EU AI Act — Annex III, Point 3: Education and Vocational Training</t>
  </si>
  <si>
    <t>S4</t>
  </si>
  <si>
    <t>A university uses AI to recommend courses to students. What obligations may apply?</t>
  </si>
  <si>
    <t>Chapter 3.1 — Risk-Based Compliance and Human Oversight</t>
  </si>
  <si>
    <t>EU AI Act — Article 13: Transparency and Information Requirements; Article 14: Human Oversight</t>
  </si>
  <si>
    <t>S5</t>
  </si>
  <si>
    <t>Start up/Student build an AI plagiarism detection system. What ethical and compliance considerations exist?</t>
  </si>
  <si>
    <t>Chapter 3.2 — Ethical AI Principles and Fairness</t>
  </si>
  <si>
    <t>EU AI Act — Article 10: Data and Data Governance Requirements; Article 13: Transparency Obligations</t>
  </si>
  <si>
    <t>S6</t>
  </si>
  <si>
    <t>Start up/Student team fine-tunes ChatGPT for mental health support. What risks should be considered?</t>
  </si>
  <si>
    <t>Chapter 3.1 — Governance of Advanced AI Models</t>
  </si>
  <si>
    <t>EU AI Act — Article 3(63): GPAI Model Definition; Article 14: Human Oversight; Article 50: Transparency Obligations</t>
  </si>
  <si>
    <t>S7</t>
  </si>
  <si>
    <t>Start up/Student create AI-generated avatars for educational videos. Are transparency disclosures needed?</t>
  </si>
  <si>
    <t>Chapter 2.3 — Transparency and Disclosure Practices</t>
  </si>
  <si>
    <t>EU AI Act — Article 50(2): Disclosure Obligations for AI-Generated or Manipulated Content</t>
  </si>
  <si>
    <t>S8</t>
  </si>
  <si>
    <t>A university deploys AI for automated scholarship ranking. What compliance risks exist?</t>
  </si>
  <si>
    <t>Chapter 3.1 — High-Risk Decision-Making Systems</t>
  </si>
  <si>
    <t>EU AI Act — Annex III, Point 3: Educational and Student Evaluation Systems</t>
  </si>
  <si>
    <t>S9</t>
  </si>
  <si>
    <t>Start up/Student use generative AI to create synthetic voices for a project presentation. Are there legal concerns?</t>
  </si>
  <si>
    <t>Chapter 2.3 — Generative AI Transparency Obligations</t>
  </si>
  <si>
    <t>EU AI Act — Article 50(4): Disclosure of Artificially Generated or Manipulated Audio Content</t>
  </si>
  <si>
    <t>S10</t>
  </si>
  <si>
    <t>Start up/Student develops an AI system to monitor online exams through webcam analysis. What AI Act concerns may arise?</t>
  </si>
  <si>
    <t>Chapter 1 — Biometric and Monitoring Risks; Chapter 3.1 — High-Risk Educational AI</t>
  </si>
  <si>
    <t>EU AI Act — Annex III, Point 1 and Point 3; Article 5: Restrictions on Emotion Recognition in Educational Contexts</t>
  </si>
  <si>
    <t>Risk classification</t>
  </si>
  <si>
    <t>Tests whether TESSA can correctly distinguish between minimal, limited, high-risk, and prohibited AI systems</t>
  </si>
  <si>
    <t>Validates legal reasoning and proportional classification</t>
  </si>
  <si>
    <t>R1</t>
  </si>
  <si>
    <t>Is an AI grammar-checking tool considered minimal-risk AI?</t>
  </si>
  <si>
    <t>Chapter 1 — Minimal-Risk AI Examples</t>
  </si>
  <si>
    <t>EU AI Act — Risk-Based Framework Overview (Minimal-Risk AI Systems)</t>
  </si>
  <si>
    <t>R2</t>
  </si>
  <si>
    <t>How would an AI-powered student recommendation system likely be classified under the EU AI Act?</t>
  </si>
  <si>
    <t>Chapter 3.1 — Educational Recommendation and Decision Systems</t>
  </si>
  <si>
    <t>EU AI Act — Annex III, Point 3: AI Systems Used in Education and Vocational Training</t>
  </si>
  <si>
    <t>R3</t>
  </si>
  <si>
    <t>Would facial recognition for campus access raise high-risk concerns?</t>
  </si>
  <si>
    <t>Chapter 1 — Biometric Identification Systems</t>
  </si>
  <si>
    <t>EU AI Act — Annex III, Point 1: Biometric Identification Systems</t>
  </si>
  <si>
    <t>R4</t>
  </si>
  <si>
    <t>Is emotion recognition during online examinations prohibited or high-risk?</t>
  </si>
  <si>
    <t>Chapter 1 — Emotion Recognition and Educational Restrictions</t>
  </si>
  <si>
    <t>EU AI Act — Article 5(1): Prohibited AI Practices Related to Emotion Recognition in Education</t>
  </si>
  <si>
    <t>R5</t>
  </si>
  <si>
    <t>How should an AI chatbot that clearly identifies itself as AI be classified?</t>
  </si>
  <si>
    <t>Chapter 2.3 — Transparency and Disclosure Requirements</t>
  </si>
  <si>
    <t>EU AI Act — Article 50(1): AI Systems Interacting with Natural Persons</t>
  </si>
  <si>
    <t>R6</t>
  </si>
  <si>
    <t>Would AI used for student admission decisions fall under high-risk AI?</t>
  </si>
  <si>
    <t>Chapter 3.1 — High-Risk Educational Decision Systems</t>
  </si>
  <si>
    <t>EU AI Act — Annex III, Point 3: AI Systems Used for Admission and Evaluation in Education</t>
  </si>
  <si>
    <t>R7</t>
  </si>
  <si>
    <t>Is an AI system that summarizes lecture notes considered limited-risk or minimal-risk?</t>
  </si>
  <si>
    <t>Chapter 1 — Minimal and Limited-Risk AI Uses</t>
  </si>
  <si>
    <t>EU AI Act — Article 50: Transparency Obligations for Certain AI Systems</t>
  </si>
  <si>
    <t>R8</t>
  </si>
  <si>
    <t>Could AI-based student profiling trigger Annex III high-risk classification?</t>
  </si>
  <si>
    <t>Chapter 3.1 — Profiling and Educational Risk Classification</t>
  </si>
  <si>
    <t>EU AI Act — Annex III, Point 3: Educational Profiling and Assessment Systems</t>
  </si>
  <si>
    <t>R9</t>
  </si>
  <si>
    <t>Would social scoring of students be considered prohibited under the EU AI Act?</t>
  </si>
  <si>
    <t>Chapter 1 — Prohibited AI Practices</t>
  </si>
  <si>
    <t>EU AI Act — Article 5(1)(c): Prohibition of Social Scoring</t>
  </si>
  <si>
    <t>R10</t>
  </si>
  <si>
    <t>How should generative AI systems used in education be evaluated from a risk perspective?</t>
  </si>
  <si>
    <t>Chapter 3.1 — Risk Governance for Advanced AI Systems</t>
  </si>
  <si>
    <t>EU AI Act — Article 3(63): GPAI Models; Article 50: Transparency Obligations for Generative AI Systems</t>
  </si>
  <si>
    <t>Compliance duties</t>
  </si>
  <si>
    <t>Tests practical compliance guidance such as documentation, transparency, and oversight</t>
  </si>
  <si>
    <t>Shows TESSA can support responsible AI practices in education</t>
  </si>
  <si>
    <t>G1</t>
  </si>
  <si>
    <t>What documentation should students maintain when developing AI systems?</t>
  </si>
  <si>
    <t>Chapter 2.3 — Documentation and Compliance Practices</t>
  </si>
  <si>
    <t>EU AI Act — Article 11: Technical Documentation; Article 12: Record-Keeping and Logging Obligations</t>
  </si>
  <si>
    <t>G2</t>
  </si>
  <si>
    <t>Who is responsible for compliance in a university AI project?</t>
  </si>
  <si>
    <t>Chapter 2.1.1 — Responsibilities of Providers and Deployers</t>
  </si>
  <si>
    <t>EU AI Act — Article 3(3): Definition of Provider; Article 3(4): Definition of Deployer; Chapter III Obligations for High-Risk AI Systems</t>
  </si>
  <si>
    <t>G3</t>
  </si>
  <si>
    <t>What human oversight measures should educational AI systems include?</t>
  </si>
  <si>
    <t>Chapter 2.1.2 — Human Oversight and Risk Mitigation</t>
  </si>
  <si>
    <t>EU AI Act — Article 14: Human Oversight Requirements</t>
  </si>
  <si>
    <t>G4</t>
  </si>
  <si>
    <t>What transparency disclosures should students provide when using generative AI?</t>
  </si>
  <si>
    <t>Chapter 2.3 — Transparency Obligations for Generative AI</t>
  </si>
  <si>
    <t>EU AI Act — Article 50(1)–(4): Transparency Obligations for AI Interaction and AI-Generated Content</t>
  </si>
  <si>
    <t>G5</t>
  </si>
  <si>
    <t>How can students demonstrate responsible AI development practices?</t>
  </si>
  <si>
    <t>Chapter 3.2 — Responsible AI and Ethical Governance</t>
  </si>
  <si>
    <t>EU AI Act — Article 4: AI Literacy; Article 9: Risk Management System</t>
  </si>
  <si>
    <t>G6</t>
  </si>
  <si>
    <t>What ethical considerations should be evaluated before deploying educational AI systems?</t>
  </si>
  <si>
    <t>Chapter 3.2 — Ethical Frameworks and Bias Mitigation</t>
  </si>
  <si>
    <t>EU AI Act — Article 10: Data Governance and Bias Mitigation; Article 14: Human Oversight</t>
  </si>
  <si>
    <t>G7</t>
  </si>
  <si>
    <t>How should universities manage risks related to student AI projects?</t>
  </si>
  <si>
    <t>Chapter 3.1 — Risk-Based Compliance Systems</t>
  </si>
  <si>
    <t>EU AI Act — Articles 9–15: Requirements for High-Risk AI Systems</t>
  </si>
  <si>
    <t>G8</t>
  </si>
  <si>
    <t>What steps help reduce bias in educational AI systems?</t>
  </si>
  <si>
    <t>Chapter 2.2 — AI Bias and Discrimination</t>
  </si>
  <si>
    <t>EU AI Act — Article 10(2)–(5): Data Governance, Data Quality, and Bias Reduction Measures</t>
  </si>
  <si>
    <t>G9</t>
  </si>
  <si>
    <t>Why is audit logging important for AI governance and accountability?</t>
  </si>
  <si>
    <t>Chapter 2.3 — Accountability and Monitoring Mechanisms</t>
  </si>
  <si>
    <t>EU AI Act — Article 12: Record-Keeping and Automatic Logging Requirements</t>
  </si>
  <si>
    <t>G10</t>
  </si>
  <si>
    <t>How can AI literacy help students comply with the EU AI Act?</t>
  </si>
  <si>
    <t>Chapter 3.2 — AI Literacy and Responsible Use</t>
  </si>
  <si>
    <t>Prohibited AI</t>
  </si>
  <si>
    <t>Tests identification of prohibited or unacceptable AI practices</t>
  </si>
  <si>
    <t>Demonstrates understanding of strict legal boundaries</t>
  </si>
  <si>
    <t>P1</t>
  </si>
  <si>
    <t>Would an AI system that manipulates vulnerable students emotionally be prohibited under the EU AI Act?</t>
  </si>
  <si>
    <t>Chapter 1 — Manipulative and Harmful AI Practices</t>
  </si>
  <si>
    <t>EU AI Act — Article 5(1)(a) and 5(1)(b): Harmful Manipulation and Exploitation of Vulnerabilities</t>
  </si>
  <si>
    <t>P2</t>
  </si>
  <si>
    <t>Is emotion recognition during school examinations allowed under the EU AI Act?</t>
  </si>
  <si>
    <t>Chapter 1 — Emotion Recognition Restrictions</t>
  </si>
  <si>
    <t>EU AI Act — Article 5(1)(f): Prohibition of Emotion Recognition in Educational Institutions</t>
  </si>
  <si>
    <t>No</t>
  </si>
  <si>
    <t>Weak</t>
  </si>
  <si>
    <t>High Risk</t>
  </si>
  <si>
    <t>P3</t>
  </si>
  <si>
    <t>Would social scoring of students by a university be considered prohibited AI?</t>
  </si>
  <si>
    <t>Chapter 1 — Prohibited AI Systems</t>
  </si>
  <si>
    <t>P4</t>
  </si>
  <si>
    <t>Can AI systems use subliminal techniques to influence student behavior?</t>
  </si>
  <si>
    <t>Chapter 1 — Manipulative AI Practices</t>
  </si>
  <si>
    <t>EU AI Act — Article 5(1)(a): Subliminal and Deceptive Manipulation</t>
  </si>
  <si>
    <t>P5</t>
  </si>
  <si>
    <t>Would AI that exploits students’ age or vulnerabilities raise prohibited AI concerns?</t>
  </si>
  <si>
    <t>Chapter 1 — Protection of Vulnerable Individuals</t>
  </si>
  <si>
    <t>EU AI Act — Article 5(1)(b): Exploitation of Vulnerabilities Due to Age or Situation</t>
  </si>
  <si>
    <t>P6</t>
  </si>
  <si>
    <t>Is biometric categorization based on sensitive characteristics permitted in educational settings?</t>
  </si>
  <si>
    <t>Chapter 1 — Biometric Categorization Risks</t>
  </si>
  <si>
    <t>EU AI Act — Article 5(1)(g): Prohibited Biometric Categorisation Based on Sensitive Characteristics</t>
  </si>
  <si>
    <t>P7</t>
  </si>
  <si>
    <t>Could an AI system that predicts “problematic students” create prohibited practice concerns?</t>
  </si>
  <si>
    <t>Chapter 3.2 — Profiling, Fairness, and Ethics</t>
  </si>
  <si>
    <t>EU AI Act — Article 5(1)(c): Social Scoring and Harmful Profiling Concerns</t>
  </si>
  <si>
    <t>P8</t>
  </si>
  <si>
    <t>Would untargeted scraping of student facial images for recognition systems be prohibited?</t>
  </si>
  <si>
    <t>Chapter 1 — Biometric Data and Facial Recognition Risks</t>
  </si>
  <si>
    <t>EU AI Act — Article 5(1)(e): Untargeted Scraping of Facial Images</t>
  </si>
  <si>
    <t>P9</t>
  </si>
  <si>
    <t>Can universities use AI to infer students’ emotions during classroom activities?</t>
  </si>
  <si>
    <t>Chapter 1 — Emotion Recognition and Educational Contexts</t>
  </si>
  <si>
    <t>EU AI Act — Article 5(1)(f): Emotion Recognition in Educational Institutions</t>
  </si>
  <si>
    <t>P10</t>
  </si>
  <si>
    <t>What legal risks arise if AI systems manipulate students’ decision-making without their awareness?</t>
  </si>
  <si>
    <t>Chapter 2.1.2 — Liability and Risk Mitigation</t>
  </si>
  <si>
    <t>EU AI Act — Article 5(1)(a): Subliminal Manipulation and Deceptive Techniques</t>
  </si>
  <si>
    <t>Minimal-risk AI</t>
  </si>
  <si>
    <t>Verifies that TESSA does not incorrectly overclassify harmless AI systems</t>
  </si>
  <si>
    <t>Demonstrates balanced and accurate interpretation</t>
  </si>
  <si>
    <t>M1</t>
  </si>
  <si>
    <t>Is an AI grammar checker for student essays considered minimal-risk AI?</t>
  </si>
  <si>
    <t>EU AI Act — Risk-Based Framework Overview for Minimal-Risk AI</t>
  </si>
  <si>
    <t>M2</t>
  </si>
  <si>
    <t>Would AI-generated lecture summaries generally fall under minimal-risk AI?</t>
  </si>
  <si>
    <t>Chapter 1 — Minimal-Risk and Limited-Risk AI</t>
  </si>
  <si>
    <t>EU AI Act — Article 50: Transparency Obligations Potentially Applicable to Generative AI Outputs</t>
  </si>
  <si>
    <t>M3</t>
  </si>
  <si>
    <t>Is a university chatbot providing campus opening hours considered minimal-risk?</t>
  </si>
  <si>
    <t>Chapter 1 — Minimal-Risk AI Uses</t>
  </si>
  <si>
    <t>M4</t>
  </si>
  <si>
    <t>Would an AI spelling correction tool require major compliance obligations?</t>
  </si>
  <si>
    <t>Chapter 1 — Minimal-Risk AI Systems</t>
  </si>
  <si>
    <t>EU AI Act — Minimal-Risk Classification under the Risk-Based Framework</t>
  </si>
  <si>
    <t>M5</t>
  </si>
  <si>
    <t>Is AI used only for formatting presentations considered minimal-risk AI?</t>
  </si>
  <si>
    <t>Chapter 1 — Low-Impact AI Uses</t>
  </si>
  <si>
    <t>EU AI Act — Minimal-Risk AI Classification Principles</t>
  </si>
  <si>
    <t>M6</t>
  </si>
  <si>
    <t>Can AI-based timetable recommendation tools generally be classified as minimal-risk?</t>
  </si>
  <si>
    <t>Chapter 1 — Recommendation Systems and Risk Levels</t>
  </si>
  <si>
    <t>EU AI Act — Risk-Based Classification Framework</t>
  </si>
  <si>
    <t>M7</t>
  </si>
  <si>
    <t>Would AI-generated study flashcards typically fall outside high-risk classification?</t>
  </si>
  <si>
    <t>Chapter 1 — Minimal-Risk Educational AI</t>
  </si>
  <si>
    <t>EU AI Act — Article 6 and Annex III High-Risk Classification Thresholds</t>
  </si>
  <si>
    <t>M8</t>
  </si>
  <si>
    <t>Is an AI tool that translates lecture notes usually considered minimal-risk?</t>
  </si>
  <si>
    <t>Chapter 1 — Translation and Supportive AI Systems</t>
  </si>
  <si>
    <t>EU AI Act — Minimal-Risk AI Guidance under the Risk-Based Approach</t>
  </si>
  <si>
    <t>M9</t>
  </si>
  <si>
    <t>Would AI used for organizing research references create significant AI Act obligations?</t>
  </si>
  <si>
    <t>Chapter 2.3 — Administrative AI Uses and Governance</t>
  </si>
  <si>
    <t>EU AI Act — Minimal-Risk AI Systems under the General Risk Framework</t>
  </si>
  <si>
    <t>M10</t>
  </si>
  <si>
    <t>Can simple AI assistants used for administrative support be considered minimal-risk systems?</t>
  </si>
  <si>
    <t>Chapter 1 — Administrative and Support AI Uses</t>
  </si>
  <si>
    <t>EU AI Act — Risk-Based Framework for Minimal-Risk AI Systems</t>
  </si>
  <si>
    <t>Limited-risk AI</t>
  </si>
  <si>
    <t>Tests transparency and disclosure reasoning under the EU AI Act</t>
  </si>
  <si>
    <t>Important because many educational AI systems fall into this category</t>
  </si>
  <si>
    <t>L1</t>
  </si>
  <si>
    <t>Does a student-facing AI chatbot need to disclose that users are interacting with AI?</t>
  </si>
  <si>
    <t>EU AI Act — Article 50(1): Disclosure Requirements for AI Systems Interacting with Humans</t>
  </si>
  <si>
    <t>L2</t>
  </si>
  <si>
    <t>Would AI-generated synthetic voices require transparency disclosures?</t>
  </si>
  <si>
    <t>L3</t>
  </si>
  <si>
    <t>Should AI-generated educational videos be labeled as AI-generated content?</t>
  </si>
  <si>
    <t>Chapter 2.3 — Transparency and AI-Generated Media</t>
  </si>
  <si>
    <t>EU AI Act — Article 50(2): Disclosure of AI-Generated or Manipulated Content</t>
  </si>
  <si>
    <t>L4</t>
  </si>
  <si>
    <t>Would generative AI used in classroom materials create transparency obligations?</t>
  </si>
  <si>
    <t>L5</t>
  </si>
  <si>
    <t>Does an AI tutoring assistant fall under limited-risk transparency requirements?</t>
  </si>
  <si>
    <t>Chapter 2.3 — AI Interaction and User Awareness</t>
  </si>
  <si>
    <t>L6</t>
  </si>
  <si>
    <t>Should students disclose when assignments contain AI-generated text?</t>
  </si>
  <si>
    <t>Chapter 3.2 — Academic Integrity and Responsible AI Use</t>
  </si>
  <si>
    <t>EU AI Act — Article 50(4): Disclosure Obligations for AI-Generated Text Content</t>
  </si>
  <si>
    <t>L7</t>
  </si>
  <si>
    <t>Would AI systems generating realistic images for university projects require disclosure?</t>
  </si>
  <si>
    <t>Chapter 2.3 — Synthetic Media and Disclosure Requirements</t>
  </si>
  <si>
    <t>EU AI Act — Article 50(2): Disclosure of Deepfakes and AI-Generated Images</t>
  </si>
  <si>
    <t>L8</t>
  </si>
  <si>
    <t>Can conversational AI systems in education trigger limited-risk obligations?</t>
  </si>
  <si>
    <t>Chapter 2.3 — Conversational AI and Transparency</t>
  </si>
  <si>
    <t>EU AI Act — Article 50(1): AI Interaction Disclosure Obligations</t>
  </si>
  <si>
    <t>L9</t>
  </si>
  <si>
    <t>Would AI-generated summaries used in academic advising require transparency measures?</t>
  </si>
  <si>
    <t>Chapter 2.3 — Transparency in Advisory AI Systems</t>
  </si>
  <si>
    <t>EU AI Act — Article 13: Transparency and Provision of Information to Users; Article 50</t>
  </si>
  <si>
    <t>L10</t>
  </si>
  <si>
    <t>What transparency responsibilities apply when universities deploy generative AI services?</t>
  </si>
  <si>
    <t>Chapter 3.1 — Governance and Transparency of Generative AI</t>
  </si>
  <si>
    <t>EU AI Act — Article 50; GPAI Transparency Provisions</t>
  </si>
  <si>
    <t>High-risk AI</t>
  </si>
  <si>
    <t>Tests whether TESSA recognizes Annex III and education-related high-risk situations</t>
  </si>
  <si>
    <t>Critical for compliance-oriented evaluation</t>
  </si>
  <si>
    <t>H1</t>
  </si>
  <si>
    <t>Would AI used in student admission decisions be considered high-risk AI?</t>
  </si>
  <si>
    <t>H2</t>
  </si>
  <si>
    <t>Is AI that predicts student academic success potentially high-risk under Annex III?</t>
  </si>
  <si>
    <t>Chapter 3.1 — Educational Profiling and Predictive Systems</t>
  </si>
  <si>
    <t>EU AI Act — Annex III, Point 3: Educational Assessment and Profiling Systems</t>
  </si>
  <si>
    <t>H3</t>
  </si>
  <si>
    <t>Could facial recognition for campus access create high-risk AI obligations?</t>
  </si>
  <si>
    <t>H4</t>
  </si>
  <si>
    <t>Would AI systems monitoring online examinations raise high-risk concerns?</t>
  </si>
  <si>
    <t>Chapter 3.1 — Monitoring and Educational AI Systems</t>
  </si>
  <si>
    <t>EU AI Act — Annex III, Point 3; Article 5(1)(f): Emotion Recognition Restrictions</t>
  </si>
  <si>
    <t>H5</t>
  </si>
  <si>
    <t>Is AI used for scholarship ranking considered high-risk decision-making?</t>
  </si>
  <si>
    <t>Chapter 3.1 — Automated Educational Decision-Making</t>
  </si>
  <si>
    <t>EU AI Act — Annex III, Point 3: Access to Education and Evaluation Systems</t>
  </si>
  <si>
    <t>H6</t>
  </si>
  <si>
    <t>Could AI-based behavioral profiling of students fall within high-risk classification?</t>
  </si>
  <si>
    <t>Chapter 3.1 — Student Profiling and Educational Risks</t>
  </si>
  <si>
    <t>EU AI Act — Annex III, Point 3: Profiling in Educational Contexts</t>
  </si>
  <si>
    <t>H7</t>
  </si>
  <si>
    <t>Would AI systems evaluating student performance automatically require strict compliance obligations?</t>
  </si>
  <si>
    <t>Chapter 3.1 — High-Risk Educational Assessment Systems</t>
  </si>
  <si>
    <t>EU AI Act — Articles 8–15: Requirements for High-Risk AI Systems</t>
  </si>
  <si>
    <t>H8</t>
  </si>
  <si>
    <t>Can AI systems supporting disciplinary decisions against students be considered high-risk?</t>
  </si>
  <si>
    <t>Chapter 3.1 — AI Decision-Making Affecting Students</t>
  </si>
  <si>
    <t>EU AI Act — Annex III, Point 3: AI Systems Affecting Educational Access and Outcomes</t>
  </si>
  <si>
    <t>H9</t>
  </si>
  <si>
    <t>Would biometric identification systems used in universities require high-risk compliance measures?</t>
  </si>
  <si>
    <t>Chapter 1 — Biometric Identification and Monitoring</t>
  </si>
  <si>
    <t>EU AI Act — Annex III, Point 1; Articles 8–15 High-Risk AI Obligations</t>
  </si>
  <si>
    <t>H10</t>
  </si>
  <si>
    <t>What obligations apply to educational AI systems classified as high-risk?</t>
  </si>
  <si>
    <t>Chapter 3.1 — Requirements for High-Risk AI Systems</t>
  </si>
  <si>
    <t>EU AI Act — Articles 8–15: Risk Management, Data Governance, Technical Documentation, Logging, Transparency, Human Oversight, Accuracy, Robustness, and Cybersecurity</t>
  </si>
  <si>
    <t>GPAI / Foundation Models</t>
  </si>
  <si>
    <t>Tests understanding of newer EU AI Act obligations related to GPAI systems</t>
  </si>
  <si>
    <t>Important because many students use LLM-based systems</t>
  </si>
  <si>
    <t>F1</t>
  </si>
  <si>
    <t>What is a General-Purpose AI (GPAI) model under the EU AI Act?</t>
  </si>
  <si>
    <t>F2</t>
  </si>
  <si>
    <t>How does a GPAI model differ from a traditional AI system?</t>
  </si>
  <si>
    <t>Chapter 3.1 — Advanced AI Models versus Application-Specific Systems</t>
  </si>
  <si>
    <t>EU AI Act — Article 3(1): Definition of an AI System; Article 3(63): Definition of a GPAI Model</t>
  </si>
  <si>
    <t>F3</t>
  </si>
  <si>
    <t>What obligations apply to providers of GPAI models?</t>
  </si>
  <si>
    <t>Chapter 3.1 — Governance and Compliance Responsibilities for GPAI Providers</t>
  </si>
  <si>
    <t>EU AI Act — Chapter V: General-Purpose AI Models; Articles 53–55</t>
  </si>
  <si>
    <t>F4</t>
  </si>
  <si>
    <t>Would ChatGPT integrated into a university platform involve GPAI-related considerations?</t>
  </si>
  <si>
    <t>Chapter 3.1 — Use of Foundation Models in Educational Contexts</t>
  </si>
  <si>
    <t>EU AI Act — Article 3(63): GPAI Models; Chapter V Obligations for GPAI Providers and Deployers</t>
  </si>
  <si>
    <t>F5</t>
  </si>
  <si>
    <t>What transparency obligations apply to generative AI systems?</t>
  </si>
  <si>
    <t>EU AI Act — Article 50(1)–(4): Transparency Obligations for Generative AI and AI-Generated Content</t>
  </si>
  <si>
    <t>F6</t>
  </si>
  <si>
    <t>Could students fine-tuning a foundation model create additional compliance responsibilities?</t>
  </si>
  <si>
    <t>Chapter 3.1 — Modification and Fine-Tuning of Advanced AI Models</t>
  </si>
  <si>
    <t>EU AI Act — Article 25: Substantial Modification; Chapter V: GPAI Model Obligations</t>
  </si>
  <si>
    <t>F7</t>
  </si>
  <si>
    <t>What risks should universities consider before deploying GPAI systems?</t>
  </si>
  <si>
    <t>Chapter 3.1 — Risk Governance for Foundation and Generative AI Models</t>
  </si>
  <si>
    <t>EU AI Act — Articles 9–15: High-Risk AI Requirements; Chapter V GPAI Obligations</t>
  </si>
  <si>
    <t>F8</t>
  </si>
  <si>
    <t>How can GPAI systems contribute to misinformation or hallucination risks in education?</t>
  </si>
  <si>
    <t>Chapter 3.2 — Ethical Risks and Reliability Challenges in AI Systems</t>
  </si>
  <si>
    <t>EU AI Act — Article 13: Transparency and Information to Users; Article 50: Disclosure Obligations</t>
  </si>
  <si>
    <t>F9</t>
  </si>
  <si>
    <t>What documentation may be required for GPAI systems under the EU AI Act?</t>
  </si>
  <si>
    <t>Chapter 2.3 — Documentation and Governance Requirements</t>
  </si>
  <si>
    <t>EU AI Act — Article 53: Technical Documentation and Information Requirements for GPAI Providers</t>
  </si>
  <si>
    <t>F10</t>
  </si>
  <si>
    <t>Why is human oversight important when using foundation models in educational environments?</t>
  </si>
  <si>
    <t>SMEs perspective</t>
  </si>
  <si>
    <t>Tests whether TESSA can apply EU AI Act requirements and risk classifications to realistic SME business situations.</t>
  </si>
  <si>
    <t>Demonstrates practical compliance guidance and the ability to support SME decision-making in real-world AI adoption contexts.</t>
  </si>
  <si>
    <t>SME1</t>
  </si>
  <si>
    <t>An SME uses an AI chatbot to answer customer support questions. What EU AI Act obligations may apply?</t>
  </si>
  <si>
    <t>Chapter 2.3 — Tools for AI Compliance and Ethical AI Practices; Chapter 3.1 — Transparency and Governance Requirements</t>
  </si>
  <si>
    <t>EU AI Act — Article 50(1): Transparency Obligations for AI Systems Interacting with Natural Persons</t>
  </si>
  <si>
    <t>SME2</t>
  </si>
  <si>
    <t>A small recruitment company uses AI to screen job applicants. Could this be considered high-risk AI?</t>
  </si>
  <si>
    <t>Chapter 3.1 — High-Risk AI Systems in Employment and Decision-Making</t>
  </si>
  <si>
    <t>EU AI Act — Annex III, Point 4: Employment, Worker Management, and Access to Self-Employment; Article 6: High-Risk AI Classification</t>
  </si>
  <si>
    <t>SME3</t>
  </si>
  <si>
    <t>An SME deploys AI to monitor employee productivity. What compliance and ethical concerns should be evaluated?</t>
  </si>
  <si>
    <t>Chapter 2.2 — AI Bias and Discrimination; Chapter 3.2 — Ethical Governance and Human Oversight</t>
  </si>
  <si>
    <t>EU AI Act — Annex III, Point 4: Worker Management and Monitoring Systems; Article 10: Data Governance; Article 14: Human Oversight</t>
  </si>
  <si>
    <t>SME4</t>
  </si>
  <si>
    <t>A retail SME uses generative AI to create marketing content and product images. Are transparency disclosures required?</t>
  </si>
  <si>
    <t>Chapter 2.3 — Transparency Obligations for Generative AI and Synthetic Content</t>
  </si>
  <si>
    <t>EU AI Act — Article 50(2) and 50(4): Disclosure Obligations for AI-Generated and Manipulated Content</t>
  </si>
  <si>
    <t>SME5</t>
  </si>
  <si>
    <t>A healthcare SME develops an AI tool to assist medical appointment prioritization. Could this fall under high-risk AI?</t>
  </si>
  <si>
    <t>Chapter 3.1 — High-Risk AI Systems in Healthcare and Essential Services</t>
  </si>
  <si>
    <t>EU AI Act — Annex III, Point 5: Access to and Enjoyment of Essential Private and Public Services; Article 6: High-Risk Classification</t>
  </si>
  <si>
    <t>SME6</t>
  </si>
  <si>
    <t>An SME integrates ChatGPT into its internal workflow for drafting reports and emails. What governance measures should be considered?</t>
  </si>
  <si>
    <t>Chapter 3.1 — Governance of GPAI and Generative AI Systems; Chapter 2.3 — Documentation and Human Oversight</t>
  </si>
  <si>
    <t>EU AI Act — Article 50: Transparency Obligations; Chapter V: General-Purpose AI Models</t>
  </si>
  <si>
    <t>SME7</t>
  </si>
  <si>
    <t>A manufacturing SME uses AI for predictive maintenance and safety monitoring. What EU AI Act obligations may apply?</t>
  </si>
  <si>
    <t>Chapter 3.1 — AI Systems in Safety-Critical and Industrial Contexts</t>
  </si>
  <si>
    <t>EU AI Act — Article 6: High-Risk AI Systems; Annex III; Articles 9–15: Requirements for High-Risk AI Systems</t>
  </si>
  <si>
    <t>SME8</t>
  </si>
  <si>
    <t>An SME collects customer voice recordings to improve an AI assistant. What legal and compliance risks should be considered?</t>
  </si>
  <si>
    <t>Chapter 2.1.2 — Risk Mitigation and Data Governance; Chapter 2.3 — Privacy and Documentation Practices</t>
  </si>
  <si>
    <t>EU AI Act — Article 10: Data and Data Governance; Article 50: Transparency Obligations; GDPR Coordination Requirements</t>
  </si>
  <si>
    <t>SME9</t>
  </si>
  <si>
    <t>A financial services SME uses AI to evaluate loan applications. Would this likely be classified as high-risk AI?</t>
  </si>
  <si>
    <t>Chapter 3.1 — High-Risk AI Systems in Financial Decision-Making</t>
  </si>
  <si>
    <t>EU AI Act — Annex III, Point 5: Creditworthiness Evaluation and Access to Essential Services; Article 6: High-Risk Classification</t>
  </si>
  <si>
    <t>SME10</t>
  </si>
  <si>
    <t>An SME deploys an AI-powered emotion recognition system for customer satisfaction analysis. What EU AI Act concerns may arise?</t>
  </si>
  <si>
    <t>Chapter 1 — Emotion Recognition and Sensitive AI Practices; Chapter 3.2 — Ethical Governance and Human Rights Risks</t>
  </si>
  <si>
    <t>EU AI Act — Article 5: Prohibited AI Practices; Article 50: Transparency Obligations; Annex III, Point 1: Biometric Systems</t>
  </si>
  <si>
    <t>Count</t>
  </si>
  <si>
    <t>Share</t>
  </si>
  <si>
    <t>Notes</t>
  </si>
  <si>
    <t>Aligned</t>
  </si>
  <si>
    <t>Mostly correct but incomplete or lacking nuance</t>
  </si>
  <si>
    <t>Incorrect, misleading, or no response</t>
  </si>
  <si>
    <t>total</t>
  </si>
  <si>
    <t>Criterion</t>
  </si>
  <si>
    <t>Review Questions</t>
  </si>
  <si>
    <t>Strong / Low Risk (Green)</t>
  </si>
  <si>
    <t>Acceptable / Medium Risk (Orange)</t>
  </si>
  <si>
    <t>Weak / High Risk (Red)</t>
  </si>
  <si>
    <t>Does the response reasonably align with EU AI Act concepts, risk classifications, and compliance obligations? Does it avoid major legal contradictions or misleading interpretations?</t>
  </si>
  <si>
    <t>Strong: Legally consistent and appropriately aligned with official sources</t>
  </si>
  <si>
    <t>Acceptable: Mostly aligned but contains minor ambiguity or incomplete interpretation</t>
  </si>
  <si>
    <t>Weak: Legally misleading, incorrect, or significantly inconsistent with official sources</t>
  </si>
  <si>
    <t>Is the explanation understandable for students, SMEs, or non-legal users? Is the response clearly structured and practically understandable?</t>
  </si>
  <si>
    <t>Strong: Clear, accessible, and easy to understand</t>
  </si>
  <si>
    <t>Acceptable: Generally understandable but may contain unclear or overly complex parts</t>
  </si>
  <si>
    <t>Weak: Confusing, poorly structured, or difficult for intended users to understand</t>
  </si>
  <si>
    <t>Does the response promote responsible AI use, risk awareness, transparency, and appropriate governance practices? Are the recommendations proportionate and appropriate for the scenario?</t>
  </si>
  <si>
    <t>Strong: Promotes responsible and appropriate governance practices</t>
  </si>
  <si>
    <t>Acceptable: Generally appropriate but lacks nuance or practical guidance</t>
  </si>
  <si>
    <t>Weak: Inappropriate, insufficient, or potentially irresponsible governance guidance</t>
  </si>
  <si>
    <t>Does the response avoid unsupported claims, invented legal obligations, or overconfident conclusions? Are uncertainties or limitations appropriately acknowledged when needed?</t>
  </si>
  <si>
    <t>Low Risk: No significant unsupported or fabricated claims detected</t>
  </si>
  <si>
    <t>Medium Risk: Minor unsupported assumptions or overgeneralizations present</t>
  </si>
  <si>
    <t>High Risk: Contains fabricated, misleading, or unsupported legal/compliance claims</t>
  </si>
  <si>
    <t>Overall, how reliable and appropriate is the response for educational and compliance-oriented guidance?</t>
  </si>
  <si>
    <t>Strong: Reliable and appropriate for educational compliance guidance</t>
  </si>
  <si>
    <t>Acceptable: Mostly reliable with some limitations</t>
  </si>
  <si>
    <t>Weak: Insufficiently reliable or potentially misleading</t>
  </si>
  <si>
    <t>A correct response should distinguish minimal-risk AI, which normally has no specific EU AI Act obligations beyond general good practice, from high-risk AI under Article 6 and Annex III, which requires risk management, data governance, technical documentation, logging, transparency, human oversight, accuracy, robustness, and cybersecurity.</t>
  </si>
  <si>
    <t>A correct response should identify Article 5 prohibited practices as unacceptable-risk AI uses, including harmful manipulation, exploitation of vulnerabilities, certain social scoring, certain predictive policing, untargeted facial-image scraping, emotion recognition in workplace and educational settings except limited exceptions, and biometric categorisation based on sensitive characteristics.</t>
  </si>
  <si>
    <t>A correct response should explain that a GPAI model is an AI model capable of competently performing a wide range of distinct tasks and that it can be integrated into many downstream systems or applications. It should distinguish the model from a specific deployed AI system and note that downstream use affects risk classification.</t>
  </si>
  <si>
    <t>A correct response should explain that transparency obligations include providing understandable information for high-risk systems, informing users when they interact with AI, and disclosing or labeling certain AI-generated or manipulated content, especially synthetic audio, image, video, or text where deception or public-interest risk may arise.</t>
  </si>
  <si>
    <t>A correct response should explain that human oversight requires appropriate human supervision, intervention, and override capacities, especially for high-risk AI systems, so that risks to health, safety, and fundamental rights can be prevented or minimized.</t>
  </si>
  <si>
    <t>A correct response should explain that AI literacy means ensuring providers and deployers take measures so staff and relevant users have sufficient AI-related skills, knowledge, and understanding to use AI systems responsibly, considering the technical context, affected persons, and risks.</t>
  </si>
  <si>
    <t>A correct response should explain that biometric identification involves recognizing or verifying a person by comparing biometric data derived from physical, physiological, or behavioral characteristics, such as face, fingerprint, iris, or voice patterns. It should note the heightened privacy and fundamental-rights sensitivity.</t>
  </si>
  <si>
    <t>A correct response should explain that Annex III lists use-case areas that are treated as high-risk when Article 6 conditions are met, including biometrics, education, employment, essential services, law enforcement, migration, justice, and democratic processes.</t>
  </si>
  <si>
    <t>A correct response should distinguish provider and deployer roles: a provider develops or places an AI system or GPAI model on the market or puts it into service under its name or trademark, while a deployer uses an AI system under its authority, except for personal non-professional activity.</t>
  </si>
  <si>
    <t>A correct response should classify a university FAQ chatbot as generally limited-risk or low-risk, with key duties focused on disclosure that users interact with AI, accuracy controls, privacy safeguards, monitoring, and human escalation for unresolved or sensitive questions.</t>
  </si>
  <si>
    <t>A correct response should state that facial recognition for classroom attendance raises biometric-identification and data-protection issues and may trigger high-risk obligations when used for access, identification, or institutional decision-making. It should also consider proportionality, transparency, consent alternatives, bias, and human oversight.</t>
  </si>
  <si>
    <t>A correct response should explain that AI predicting student grades may be high-risk if used to evaluate learning outcomes, educational progression, access, or opportunities. If used only experimentally without decision impact, obligations may be lower but governance, fairness, and oversight remain necessary.</t>
  </si>
  <si>
    <t>A correct response should explain that course recommendation AI may be limited or minimal risk when advisory only, but risk increases if it substantially affects progression, access, or opportunities. Transparency, fairness monitoring, data governance, contestability, and human advising should be maintained.</t>
  </si>
  <si>
    <t>A correct response should explain that AI plagiarism detection requires careful governance because false positives can affect academic rights and disciplinary outcomes. It should include transparency, human review, appeal mechanisms, data governance, bias testing, and avoidance of fully automated sanctions.</t>
  </si>
  <si>
    <t>A correct response should explain that fine-tuning a GPAI model for mental-health support is highly sensitive because it may affect vulnerable persons and health-related wellbeing. It requires strong human oversight, safety boundaries, privacy protection, transparency, escalation to professionals, and assessment of whether medical or high-risk rules apply.</t>
  </si>
  <si>
    <t>A correct response should explain that AI-generated avatars, realistic synthetic video, or synthetic voices used in educational videos normally require clear disclosure where viewers could believe the content is real or human-made. Consent and avoidance of impersonation are also important.</t>
  </si>
  <si>
    <t>A correct response should explain that AI used for scholarship ranking can be high-risk because it affects educational and financial opportunities. It should require fairness and bias controls, transparency, human oversight, documentation, data governance, and appeal or review procedures.</t>
  </si>
  <si>
    <t>A correct response should explain that synthetic voices raise transparency, consent, impersonation, and deception risks. Disclosure is normally required when artificially generated or manipulated audio could mislead users, especially if it imitates real persons.</t>
  </si>
  <si>
    <t>A correct response should explain that AI webcam proctoring can raise high-risk concerns because it may involve biometric identification, behavioral monitoring, automated suspicion scoring, or emotion recognition. It should emphasize privacy, proportionality, bias, transparency, human review, appeal rights, and restrictions on emotion recognition in education.</t>
  </si>
  <si>
    <t>A correct response should classify a grammar-checking tool as generally minimal risk because it assists writing without making significant decisions about rights, opportunities, or access. Good practice includes user control, privacy, and awareness of possible bias or errors.</t>
  </si>
  <si>
    <t>A correct response should classify student recommendation AI according to its effect: advisory recommendations may be limited or minimal risk, while systems materially affecting admission, assessment, progression, or access can become high-risk under Annex III education provisions.</t>
  </si>
  <si>
    <t>A correct response should explain that facial recognition for campus access raises high-risk concerns because biometric identification can affect access to facilities and fundamental rights. It requires necessity and proportionality review, data protection, fairness testing, transparency, and human oversight.</t>
  </si>
  <si>
    <t>A correct response should state that emotion recognition in educational institutions is prohibited under Article 5, subject only to narrow medical or safety exceptions. If other biometric monitoring functions are present, high-risk obligations may also be relevant.</t>
  </si>
  <si>
    <t>A correct response should classify a chatbot that clearly identifies itself as AI as generally limited-risk under transparency rules for AI systems interacting with natural persons, unless its use case independently triggers high-risk classification.</t>
  </si>
  <si>
    <t>A correct response should explain that AI used for student admissions is high-risk under Annex III education and vocational training because it affects access to education and future opportunities. It requires high-risk governance obligations and meaningful human oversight.</t>
  </si>
  <si>
    <t>A correct response should explain that lecture-note summarization is generally minimal or limited risk, depending on whether users interact with a chatbot or rely on generated content. It should include transparency, accuracy checking, privacy, and human responsibility for learning use.</t>
  </si>
  <si>
    <t>A correct response should explain that AI-based student profiling may trigger high-risk classification when it evaluates, predicts, or influences educational performance, progression, access, or institutional treatment. It requires fairness, data governance, transparency, and human oversight.</t>
  </si>
  <si>
    <t>A correct response should explain that social scoring of students can fall under prohibited practices if it evaluates or classifies students based on social behavior or personal characteristics in ways that cause unjustified or detrimental treatment.</t>
  </si>
  <si>
    <t>A correct response should explain that generative AI in education should be assessed by purpose, user interaction, data use, autonomy, affected decisions, and potential harm. It is not automatically high-risk, but transparency, accuracy, privacy, and human oversight are important.</t>
  </si>
  <si>
    <t>A correct response should explain that students should keep proportionate documentation of system purpose, design choices, data sources, risk assessment, testing, limitations, transparency notices, human oversight, and monitoring. High-risk-like projects require more complete technical documentation and logging.</t>
  </si>
  <si>
    <t>A correct response should explain that compliance responsibility depends on legal role and context. Students, universities, and external partners may be providers, deployers, or both, depending on who develops, places into service, substantially modifies, or uses the AI system.</t>
  </si>
  <si>
    <t>A correct response should explain that educational AI oversight should include competent human review, ability to intervene or override, clear escalation and appeal routes, transparency for decision-makers, monitoring of performance and bias, and avoidance of purely automated high-impact decisions.</t>
  </si>
  <si>
    <t>A correct response should explain that students should disclose meaningful use of generative AI, especially AI-generated text, images, audio, video, avatars, or chatbot assistance, in line with transparency, academic-integrity rules, and avoidance of deception.</t>
  </si>
  <si>
    <t>A correct response should explain that responsible AI development includes risk assessment, purpose limitation, data governance, privacy protection, fairness and bias testing, transparency, human oversight, documentation, monitoring, and clear accountability.</t>
  </si>
  <si>
    <t>A correct response should explain that educational AI should be evaluated for fairness, non-discrimination, privacy, transparency, proportionality, psychological and social impact, reliability, security, accountability, and the availability of human review or appeal.</t>
  </si>
  <si>
    <t>A correct response should explain that universities should manage student AI projects with risk-based review, project documentation, privacy and data governance, transparency, human oversight, ethics review for sensitive uses, and stricter controls for biometrics, profiling, surveillance, or high-impact decisions.</t>
  </si>
  <si>
    <t>A correct response should explain that bias reduction requires representative and relevant data, data-quality checks, bias testing, human review, explainability, monitoring, appeal mechanisms, and governance procedures that prevent discriminatory outcomes.</t>
  </si>
  <si>
    <t>A correct response should explain that audit logging supports traceability, accountability, incident investigation, monitoring, and compliance demonstration, especially for high-risk AI systems where automatic logs are required.</t>
  </si>
  <si>
    <t>A correct response should explain that AI literacy helps students understand AI capabilities, limitations, risks, legal classifications, transparency duties, fairness, data protection, human oversight, and responsible development practices under the EU AI Act.</t>
  </si>
  <si>
    <t>A correct response should explain that AI which materially distorts behavior through manipulation or exploits vulnerabilities of students in a harmful way can be prohibited under Article 5. It should emphasize prevention, safeguarding, and avoidance of psychological or educational harm.</t>
  </si>
  <si>
    <t>A correct response should state clearly that emotion recognition systems in educational institutions are prohibited under Article 5, except where used for medical or safety reasons. Exam monitoring based on emotion inference should therefore be treated as legally unacceptable unless an exception applies.</t>
  </si>
  <si>
    <t>A correct response should explain that student social scoring by a university can be prohibited where it evaluates or classifies students based on social behavior or personal characteristics and causes unjustified or detrimental treatment in educational contexts.</t>
  </si>
  <si>
    <t>A correct response should explain that AI using subliminal, manipulative, or deceptive techniques that materially distort behavior and cause or are likely to cause significant harm is prohibited. In education, such techniques are especially problematic because of dependency and vulnerability.</t>
  </si>
  <si>
    <t>A correct response should explain that AI exploiting vulnerabilities due to age, disability, or specific social or economic situation in a way that materially distorts behavior and causes or is likely to cause significant harm is prohibited.</t>
  </si>
  <si>
    <t>A correct response should state that biometric categorisation to infer sensitive characteristics is prohibited under Article 5, subject to limited exceptions. Educational use would be highly problematic and should not be treated merely as ordinary high-risk AI.</t>
  </si>
  <si>
    <t>A correct response should explain that predicting or labeling 'problematic students' may be high-risk student profiling and may resemble prohibited social scoring if it leads to unjustified detrimental treatment based on social behavior or personal characteristics.</t>
  </si>
  <si>
    <t>A correct response should state that untargeted scraping of facial images from the internet or CCTV to create or expand facial-recognition databases is prohibited. In a student context, it also creates serious biometric privacy and fundamental-rights risks.</t>
  </si>
  <si>
    <t>A correct response should state that emotion recognition in educational institutions is prohibited except for medical or safety reasons. Classroom emotion inference should therefore be treated as prohibited unless a narrow exception applies, not merely as high-risk.</t>
  </si>
  <si>
    <t>A correct response should explain that covert manipulation of student decision-making can be prohibited where it materially distorts behavior and causes or is likely to cause significant harm. It also raises transparency, autonomy, accountability, and safeguarding risks.</t>
  </si>
  <si>
    <t>A correct response should classify a grammar checker as generally minimal-risk AI because it supports writing without making high-impact decisions. Privacy, transparency, and user responsibility remain good-practice safeguards.</t>
  </si>
  <si>
    <t>A correct response should classify AI-generated lecture summaries as generally minimal or limited risk when used only for study support, while noting risks of hallucination, inaccuracy, overreliance, privacy exposure, and the need to identify AI-generated content where relevant.</t>
  </si>
  <si>
    <t>A correct response should classify a campus-opening-hours chatbot as low or limited risk, with the main legal duty being disclosure that the user is interacting with AI and practical safeguards for accuracy, privacy, and escalation.</t>
  </si>
  <si>
    <t>A correct response should explain that spelling correction is generally minimal risk and normally does not require major EU AI Act compliance obligations, apart from general privacy, user control, transparency where applicable, and quality monitoring.</t>
  </si>
  <si>
    <t>A correct response should explain that AI used only to format presentations is generally minimal risk because it does not decide rights, access, or opportunities. Users should still review outputs and disclose synthetic content where needed.</t>
  </si>
  <si>
    <t>A correct response should explain that timetable recommendation tools are generally minimal or limited risk when advisory and user-controlled, but risk increases if recommendations affect access, progression, prioritization, or are based on sensitive profiling.</t>
  </si>
  <si>
    <t>A correct response should explain that AI-generated study flashcards are generally outside high-risk classification because they are optional learning aids. Accuracy review, transparency, and avoidance of overreliance remain important.</t>
  </si>
  <si>
    <t>A correct response should explain that AI lecture-note translation is generally minimal risk when used as assistive learning support, but privacy, accuracy, accessibility, bias, and disclosure of AI-generated translation should be considered.</t>
  </si>
  <si>
    <t>A correct response should explain that AI organizing research references is generally minimal risk because it supports administration or research productivity. Main concerns are hallucinated citations, data protection, bias in recommendations, and human academic responsibility.</t>
  </si>
  <si>
    <t>A correct response should explain that simple administrative AI assistants are generally minimal or limited risk when they support routine tasks and do not make high-impact decisions. Transparency, privacy, accuracy checks, escalation, and monitoring are appropriate safeguards.</t>
  </si>
  <si>
    <t>A correct response should state that a student-facing chatbot must disclose that users are interacting with AI unless this is obvious from the context. It should also include limitations, accuracy safeguards, privacy protection, and human escalation.</t>
  </si>
  <si>
    <t>A correct response should explain that synthetic voices require disclosure when artificially generated or manipulated audio could appear authentic or mislead users, especially where impersonation or realistic human voice simulation is involved.</t>
  </si>
  <si>
    <t>A correct response should explain that AI-generated educational videos should be labeled when they contain synthetic or manipulated content that could be mistaken for authentic human-created or real-world content, especially deepfake-like media.</t>
  </si>
  <si>
    <t>A correct response should explain that generative AI used in classroom materials can create transparency duties where students interact with AI or consume AI-generated content. Human review, accuracy checking, disclosure, and data protection are expected safeguards.</t>
  </si>
  <si>
    <t>A correct response should explain that an AI tutoring assistant normally triggers limited-risk transparency obligations because students interact with AI. Risk may increase if it evaluates students, profiles them, or affects educational decisions.</t>
  </si>
  <si>
    <t>A correct response should explain that disclosure of AI-generated text in assignments is primarily an academic-integrity and transparency requirement, while EU AI Act Article 50 focuses on certain providers/deployers and publication contexts. Students should disclose meaningful AI use under institutional policy.</t>
  </si>
  <si>
    <t>A correct response should explain that realistic AI-generated images for university projects require disclosure when they could mislead viewers into believing they are authentic. Deepfake-like or synthetic media should be clearly labeled and used responsibly.</t>
  </si>
  <si>
    <t>A correct response should explain that conversational AI systems in education normally trigger transparency obligations because users should know they are interacting with AI. Additional safeguards include limitations, privacy, human escalation, and monitoring.</t>
  </si>
  <si>
    <t>A correct response should explain that AI-generated summaries in academic advising require transparency and human review because they may influence educational choices. Risk increases if the summaries drive decisions about progression, support, or opportunities.</t>
  </si>
  <si>
    <t>A correct response should explain that universities deploying generative AI services should disclose AI interaction, label relevant generated content, explain limitations, ensure human oversight, protect personal data, monitor accuracy and bias, and define accountability.</t>
  </si>
  <si>
    <t>A correct response should state that AI used in student admission decisions is high-risk under Annex III because it affects access to education. It should require Articles 8–15 style obligations including risk management, data governance, documentation, logging, transparency, human oversight, accuracy, robustness, and cybersecurity.</t>
  </si>
  <si>
    <t>A correct response should explain that predicting academic success can be high-risk when it is used to determine admission, evaluation, progression, support allocation, or other educational opportunities. Purely advisory or research uses require proportionate governance but may not be high-risk.</t>
  </si>
  <si>
    <t>A correct response should explain that facial recognition for campus access can be high-risk because it involves biometric identification and may control access to facilities. It requires proportionality, data protection, transparency, fairness testing, human oversight, and alternatives where appropriate.</t>
  </si>
  <si>
    <t>A correct response should explain that AI online exam monitoring may be high-risk when it assesses students, detects suspicious behavior, or uses biometric identification. Emotion recognition in education is prohibited except for medical or safety reasons. Human review and appeals are essential.</t>
  </si>
  <si>
    <t>A correct response should explain that AI scholarship ranking can be high-risk because it affects access to educational and financial opportunities. It requires fairness, transparency, data governance, human oversight, documentation, and review or appeal mechanisms.</t>
  </si>
  <si>
    <t>A correct response should explain that behavioral profiling of students can be high-risk when it affects educational outcomes, disciplinary action, progression, or access to services. It raises discrimination, surveillance, stigmatization, data protection, and transparency concerns.</t>
  </si>
  <si>
    <t>A correct response should explain that AI evaluating student performance is high-risk when it materially affects assessment, grading, progression, access, or opportunities. Strict obligations do not apply to every low-impact support tool, so classification depends on impact and use.</t>
  </si>
  <si>
    <t>A correct response should explain that AI supporting disciplinary decisions can be high-risk where it affects student rights, sanctions, or educational opportunities. It requires transparency, fairness, human review, data governance, documentation, and appeal mechanisms.</t>
  </si>
  <si>
    <t>A correct response should explain that biometric identification in universities may trigger high-risk obligations when used for identification, access, monitoring, or decision support. It also requires GDPR-aligned safeguards, transparency, proportionality, bias testing, and human oversight.</t>
  </si>
  <si>
    <t>A correct response should list high-risk obligations for educational AI: risk management, data governance, technical documentation, record-keeping/logging, transparency and instructions for use, human oversight, accuracy, robustness, cybersecurity, post-market monitoring, and incident reporting where applicable.</t>
  </si>
  <si>
    <t>A correct response should define a GPAI model as a model capable of performing a wide range of distinct tasks and capable of integration into a variety of downstream systems or applications. It should distinguish model-level duties from downstream AI system duties.</t>
  </si>
  <si>
    <t>A correct response should explain that a traditional AI system is usually designed for a specific purpose or deployment context, while a GPAI model is reusable and adaptable across many tasks and downstream applications. Risk depends on how it is integrated and used.</t>
  </si>
  <si>
    <t>A correct response should explain that GPAI providers must prepare and maintain technical documentation, provide information to downstream providers, comply with EU copyright rules, publish a training-content summary, and, for systemic-risk GPAI, conduct model evaluation, risk mitigation, incident reporting, cybersecurity, and additional monitoring.</t>
  </si>
  <si>
    <t>A correct response should explain that integrating ChatGPT into a university platform raises GPAI and deployer governance considerations, including transparency, data protection, accuracy, human oversight, and downstream risk assessment. High-risk obligations arise if the integration supports high-impact educational decisions.</t>
  </si>
  <si>
    <t>A correct response should explain that generative AI transparency obligations include informing users when they interact with AI, labeling certain AI-generated or manipulated content, disclosing deepfakes, and managing limitations, accuracy, and human review where outputs influence users.</t>
  </si>
  <si>
    <t>A correct response should explain that fine-tuning a foundation or GPAI model may create additional responsibilities if the student or university substantially modifies the model, places it into service, or deploys it in a high-risk context. Documentation, testing, transparency, and role assessment are needed.</t>
  </si>
  <si>
    <t>A correct response should explain that universities should assess GPAI risks including hallucinations, misinformation, bias, privacy, cybersecurity, copyright, data leakage, overreliance, profiling, transparency failures, and impacts on educational rights or opportunities.</t>
  </si>
  <si>
    <t>A correct response should explain that GPAI can generate plausible but false content, fabricated sources, biased or misleading explanations, and overconfident guidance. Controls include human verification, source checking, transparency, user education, and monitoring.</t>
  </si>
  <si>
    <t>A correct response should explain that GPAI documentation may include model capabilities and limitations, technical documentation, intended downstream use information, training-data summary, copyright compliance information, risk assessments, evaluation results, and monitoring or incident records where relevant.</t>
  </si>
  <si>
    <t>A correct response should explain that human oversight is important because foundation models can hallucinate, produce biased or unsafe outputs, and influence student decisions. Humans should verify outputs, make final decisions, provide escalation, and maintain accountability.</t>
  </si>
  <si>
    <t>A correct response should explain that a customer-support chatbot is generally limited-risk where users interact with AI, requiring disclosure unless obvious. It should also recommend privacy safeguards, output monitoring, human escalation, accuracy controls, and documentation proportionate to the risk.</t>
  </si>
  <si>
    <t>A correct response should explain that AI screening job applicants is high-risk under Annex III employment and worker-management provisions because it affects access to employment. It requires high-risk obligations including risk management, data governance, transparency, human oversight, bias controls, and documentation.</t>
  </si>
  <si>
    <t>A correct response should explain that AI employee productivity monitoring may be high-risk under worker-management provisions and raises privacy, proportionality, surveillance, discrimination, transparency, and psychological-impact concerns. Human oversight and worker information are essential.</t>
  </si>
  <si>
    <t>A correct response should explain that generative AI marketing content and product images may require disclosure where content is synthetic, manipulated, or could mislead consumers into believing it is authentic. Good practice includes human review, IP checks, accuracy, and avoidance of deceptive claims.</t>
  </si>
  <si>
    <t>A correct response should explain that healthcare appointment prioritization may be high-risk where it affects access to healthcare or triage decisions, and may also intersect with medical-device regulation depending on function. It requires risk management, data governance, reliability, transparency, human oversight, and fairness.</t>
  </si>
  <si>
    <t>A correct response should explain that internal ChatGPT use normally requires governance rather than high-risk compliance unless used for high-impact decisions. Measures should include staff AI literacy, confidentiality and privacy rules, human review, hallucination checks, documentation, acceptable-use policy, and accountability.</t>
  </si>
  <si>
    <t>A correct response should explain that predictive maintenance may be minimal or ordinary industrial support, but AI safety monitoring may become high-risk if it is a safety component or affects critical infrastructure or worker safety. Risk assessment, reliability testing, human oversight, documentation, and monitoring are appropriate.</t>
  </si>
  <si>
    <t>A correct response should explain that voice recordings raise data protection, transparency, consent or lawful-basis, security, retention, and fairness concerns. If voice data is used for biometric identification, emotion recognition, or profiling, higher EU AI Act and GDPR sensitivity applies.</t>
  </si>
  <si>
    <t>A correct response should explain that AI creditworthiness or loan-application evaluation is high-risk under Annex III because it affects access to essential financial services. It requires strong fairness, data governance, transparency, documentation, human oversight, explainability, monitoring, and appeal routes.</t>
  </si>
  <si>
    <t>A correct response should define an AI system as a machine-based system designed to operate with varying levels of autonomy and infer from inputs how to generate outputs such as predictions, content, recommendations, or decisions that may influence physical or virtual environments. It should also connect the definition to role and risk assessment.</t>
  </si>
  <si>
    <t>A correct response should explain that emotion recognition for customer satisfaction involves sensitive inference and transparency obligations, and may become high-risk if based on biometric data or used in consequential decision-making. It is prohibited only in specific contexts such as workplace or education except narrow exceptions, so context matters.</t>
  </si>
  <si>
    <t>EU AI Act — Article 14: Human Oversight; Chapter V GPAI Governance Requirements</t>
  </si>
  <si>
    <r>
      <t>Chapter 2.1.2 — </t>
    </r>
    <r>
      <rPr>
        <i/>
        <sz val="12"/>
        <color rgb="FF000000"/>
        <rFont val="Times New Roman"/>
        <family val="1"/>
      </rPr>
      <t>Human Oversight and Risk Mitigation</t>
    </r>
    <r>
      <rPr>
        <sz val="14"/>
        <color rgb="FF000000"/>
        <rFont val="Times New Roman"/>
        <family val="1"/>
      </rPr>
      <t>; Chapter 3.1 — </t>
    </r>
    <r>
      <rPr>
        <i/>
        <sz val="12"/>
        <color rgb="FF000000"/>
        <rFont val="Times New Roman"/>
        <family val="1"/>
      </rPr>
      <t>Governance of Advanced AI Models</t>
    </r>
  </si>
  <si>
    <r>
      <t xml:space="preserve">EU AI Act — Article 4: AI Literacy, </t>
    </r>
    <r>
      <rPr>
        <sz val="12"/>
        <color rgb="FFFF0000"/>
        <rFont val="Times New Roman"/>
        <family val="1"/>
      </rPr>
      <t>Article 3 (56)</t>
    </r>
  </si>
  <si>
    <t>ChatGPT Response Summary</t>
  </si>
  <si>
    <t>ChatGPT explains that an AI system under the EU AI Act is a machine-based system capable of operating with varying levels of autonomy and generating outputs such as predictions, recommendations, content, or decisions that influence physical or virtual environments. It highlights inference capability, adaptiveness, autonomy, and examples such as chatbots, recommendation systems, and facial recognition systems.</t>
  </si>
  <si>
    <t>ChatGPT explains that minimal-risk AI presents low potential harm and generally faces few mandatory obligations, while high-risk AI significantly affects rights, safety, education, employment, healthcare, or access to services and therefore requires strict compliance measures such as risk management, documentation, human oversight, and monitoring.</t>
  </si>
  <si>
    <t>ChatGPT explains that prohibited AI practices include systems considered unacceptable because they manipulate behavior, exploit vulnerabilities, enable social scoring, perform harmful biometric categorization, or facilitate intrusive surveillance practices that threaten fundamental rights and freedoms.</t>
  </si>
  <si>
    <t>ChatGPT explains that GPAI models are broad-purpose foundation models trained on large datasets and capable of performing many different tasks across multiple applications. It distinguishes GPAI models from final AI systems and highlights obligations related to transparency, technical documentation, copyright compliance, and systemic-risk management.</t>
  </si>
  <si>
    <t>ChatGPT explains that transparency obligations require users to understand when they interact with AI systems or AI-generated content. It highlights disclosure obligations, explainability, user awareness, labeling of synthetic content, and provision of information about AI-assisted decision-making.</t>
  </si>
  <si>
    <t>ChatGPT explains that human oversight means humans must remain capable of supervising, reviewing, intervening in, or overriding AI systems where necessary. It emphasizes oversight as a safeguard against automation bias, harmful outcomes, and unreliable AI behavior, especially in high-risk systems.</t>
  </si>
  <si>
    <t>ChatGPT explains that AI literacy refers to the knowledge and skills needed to understand, use, supervise, and critically evaluate AI systems responsibly. It highlights understanding AI limitations, risks, oversight responsibilities, ethical considerations, and compliance obligations appropriate to different user roles.</t>
  </si>
  <si>
    <t>ChatGPT explains that biometric identification involves using AI systems to identify or verify individuals through biological or behavioral characteristics such as facial recognition, fingerprints, voice patterns, iris scans, or gait analysis. It highlights major concerns related to surveillance, privacy, discrimination, and remote biometric identification practices.</t>
  </si>
  <si>
    <t>ChatGPT explains that Annex III identifies categories of AI systems considered high-risk under the EU AI Act. It provides examples of sectors and applications where AI may significantly affect safety or fundamental rights, helping determine when stricter compliance obligations apply.</t>
  </si>
  <si>
    <t>ChatGPT explains that a provider is generally the entity developing or placing an AI system on the market, while a deployer is the organization using the AI system operationally. It emphasizes that these roles carry different legal and governance responsibilities under the EU AI Act.</t>
  </si>
  <si>
    <t>The response explains that a university FAQ chatbot is usually considered limited-risk AI, but compliance concerns arise regarding transparency, accuracy, misinformation, GDPR, and human oversight, especially if the chatbot influences student decisions.</t>
  </si>
  <si>
    <t>The response explains that facial recognition attendance systems raise major AI Act and GDPR concerns because they involve biometric data, surveillance, privacy risks, and possible high-risk AI classification in educational settings.</t>
  </si>
  <si>
    <t>The response explains that AI systems predicting student grades may be classified as high-risk AI if they influence academic evaluation, progression, or opportunities, particularly due to risks involving bias, profiling, and automated decision-making.</t>
  </si>
  <si>
    <t>The response explains that AI course recommendation systems are generally lower-risk but may trigger transparency, fairness, profiling, and human oversight obligations if they significantly influence educational choices or access.</t>
  </si>
  <si>
    <t>The response explains that AI plagiarism detection systems raise concerns about false accusations, fairness, transparency, GDPR, and due process, especially if institutions rely heavily on automated outputs in disciplinary decisions.</t>
  </si>
  <si>
    <t>The response explains that AI mental health support systems create serious risks involving vulnerable users, harmful advice, sensitive health data, and potential high-risk AI classification, requiring strong safeguards and human oversight.</t>
  </si>
  <si>
    <t>The response explains that AI-generated educational avatars may require transparency disclosures under the EU AI Act, especially if realistic synthetic media could mislead viewers or imitate real individuals.</t>
  </si>
  <si>
    <t>The response explains that AI scholarship ranking systems are likely high-risk AI because they affect educational opportunities and may create bias, discrimination, profiling, and fairness concerns requiring transparency and human oversight.</t>
  </si>
  <si>
    <t>The response explains that AI-generated synthetic voices raise legal and ethical concerns involving transparency, consent, impersonation, deepfakes, and personality rights, particularly when imitating real individuals.</t>
  </si>
  <si>
    <t>The response explains that AI webcam exam monitoring systems raise serious concerns regarding surveillance, biometric processing, privacy, bias, proportionality, and potential high-risk AI classification under the EU AI Act.</t>
  </si>
  <si>
    <t>ChatGPT explains that AI grammar-checking tools are generally considered minimal-risk AI because they mainly support writing quality without materially affecting rights, opportunities, or important educational or employment decisions.</t>
  </si>
  <si>
    <t>ChatGPT explains that student recommendation systems may become high-risk AI when they significantly influence educational access, placement, scholarships, grading, or progression decisions. Lower-impact advisory or personalization uses may remain minimal or limited risk.</t>
  </si>
  <si>
    <t>ChatGPT explains that facial-recognition systems for campus access raise high-risk concerns because they involve biometric identification, surveillance risks, privacy impacts, and potential effects on access rights and equal treatment.</t>
  </si>
  <si>
    <t>ChatGPT explains that emotion recognition during online examinations is considered highly sensitive and may be prohibited or high-risk because it involves biometric analysis, emotional inference, surveillance, privacy risks, discrimination concerns, and questionable scientific reliability.</t>
  </si>
  <si>
    <t>ChatGPT explains that AI chatbots clearly identifying themselves as AI are generally considered limited-risk systems because their main obligation involves transparency toward users rather than extensive high-risk compliance obligations.</t>
  </si>
  <si>
    <t>ChatGPT explains that AI systems influencing student admissions are likely classified as high-risk AI because they materially affect educational access, opportunities, fairness, and future outcomes. Governance, transparency, human oversight, and bias mitigation are emphasized.</t>
  </si>
  <si>
    <t>ChatGPT explains that lecture-summary systems are generally treated as minimal-risk AI because they support learning and productivity rather than making consequential educational decisions. Risk may increase if outputs are used for assessment or profiling purposes.</t>
  </si>
  <si>
    <t>ChatGPT explains that AI-based student profiling can trigger Annex III high-risk classification when profiling materially affects educational decisions, opportunities, progression, or institutional treatment. The response highlights fairness, discrimination, monitoring, and behavioral-analysis concerns.</t>
  </si>
  <si>
    <t>ChatGPT explains that student social-scoring systems would likely be considered prohibited AI practices because they may classify students based on behavior or inferred traits in ways that create unfair treatment, surveillance, discrimination, and long-term negative consequences.</t>
  </si>
  <si>
    <t>ChatGPT explains that generative AI in education should be evaluated through a context-based risk assessment considering purpose, automation level, impact on rights and opportunities, transparency, human oversight, data protection, hallucination risks, and possible manipulative or biometric uses.</t>
  </si>
  <si>
    <t>ChatGPT explains that students should maintain documentation covering project purpose, datasets, model development, testing results, ethical assessments, governance measures, transparency information, and maintenance history. It emphasizes accountability, traceability, and responsible AI development practices throughout the system lifecycle.</t>
  </si>
  <si>
    <t>ChatGPT explains that responsibility for compliance in university AI projects may be shared across developers, deployers, supervisors, institutions, and governance teams depending on their roles and involvement in the AI system lifecycle.</t>
  </si>
  <si>
    <t>ChatGPT explains that educational AI systems should include meaningful human oversight through review mechanisms, override capabilities, monitoring procedures, appeals processes, and contextual human judgment to reduce harmful or unfair automated outcomes.</t>
  </si>
  <si>
    <t>ChatGPT explains that students should disclose meaningful use of generative AI, including AI-generated text, media, or assistance tools, while clarifying limitations, sources, and the extent of AI involvement in academic work.</t>
  </si>
  <si>
    <t>ChatGPT explains that responsible AI development includes documentation, fairness testing, transparency, human oversight, ethical reflection, privacy protection, monitoring, and governance measures designed to minimize harm and improve accountability.</t>
  </si>
  <si>
    <t>ChatGPT explains that educational AI systems should be evaluated for fairness, privacy, accessibility, transparency, discrimination risks, psychological impact, accountability, and proportionality before deployment.</t>
  </si>
  <si>
    <t>ChatGPT explains that universities should manage student AI risks through governance policies, ethical review, transparency requirements, human oversight, monitoring procedures, documentation practices, and continuous evaluation of system impacts and fairness.</t>
  </si>
  <si>
    <t>ChatGPT explains that reducing bias requires diverse datasets, fairness testing, representative training data, transparency, ethical assessment, accessibility considerations, continuous monitoring, human oversight, and opportunities for feedback and appeals.</t>
  </si>
  <si>
    <t>ChatGPT explains that audit logging supports accountability, traceability, compliance verification, transparency, oversight, error investigation, security monitoring, fairness evaluation, and continuous improvement throughout the AI lifecycle.</t>
  </si>
  <si>
    <t>ChatGPT explains that AI literacy helps students understand AI risks, governance obligations, transparency requirements, ethical considerations, human oversight, data governance, and responsible AI use practices, supporting safer and more compliant AI development and deployment.</t>
  </si>
  <si>
    <t>ChatGPT explains that AI systems emotionally manipulating vulnerable students could potentially be classified as prohibited AI practices under Article 5 because they may exploit vulnerabilities, distort behavior, and cause significant harm. The response highlights concerns related to manipulation, exploitation of minors, and covert influence.</t>
  </si>
  <si>
    <t>ChatGPT explains that emotion recognition during school examinations is generally prohibited because the EU AI Act restricts AI systems that infer emotions in educational settings except for limited medical or safety purposes. Key concerns include privacy, discrimination, psychological pressure, and scientific unreliability.</t>
  </si>
  <si>
    <t>ChatGPT explains that social-scoring systems targeting students would likely raise prohibited-AI concerns because they may unfairly profile individuals, influence opportunities, and undermine fairness, autonomy, and equal treatment within educational environments.</t>
  </si>
  <si>
    <t>ChatGPT explains that AI systems using subliminal or manipulative techniques to influence student behavior may fall into prohibited AI categories because they can distort decision-making, exploit vulnerabilities, and undermine autonomous judgment without transparent awareness.</t>
  </si>
  <si>
    <t>ChatGPT explains that AI exploiting students’ age, emotional state, disability, or vulnerability may trigger prohibited-AI concerns because such systems could manipulate behavior unfairly and cause psychological, educational, or social harm.</t>
  </si>
  <si>
    <t>ChatGPT explains that biometric categorization based on sensitive characteristics raises severe concerns related to privacy, discrimination, surveillance, and misuse of biometric data, potentially approaching prohibited AI practices in educational contexts.</t>
  </si>
  <si>
    <t>ChatGPT explains that predictive systems labeling “problematic students” may raise prohibited or high-risk concerns because they involve profiling, stigmatization, behavioral prediction, discrimination, and possible social-scoring effects within educational environments.</t>
  </si>
  <si>
    <t>ChatGPT explains that untargeted scraping of student facial images from the internet or CCTV footage to build facial-recognition databases is prohibited under the EU AI Act because it creates major risks related to privacy, surveillance, autonomy, and biometric-data misuse.</t>
  </si>
  <si>
    <t>ChatGPT explains that universities are generally prohibited from using AI systems to infer students’ emotions during classroom activities because such systems raise concerns involving surveillance, privacy intrusion, psychological pressure, discrimination, and unreliable emotional inference.</t>
  </si>
  <si>
    <t>ChatGPT explains that covertly manipulative AI systems may create serious legal risks under the EU AI Act, including prohibited-practice concerns related to subliminal influence, exploitation of vulnerable groups, profiling, GDPR violations, and infringement of students’ autonomy and fundamental rights.</t>
  </si>
  <si>
    <t>ChatGPT explains that AI grammar checkers are generally considered minimal-risk AI because they mainly assist with language correction and do not materially determine academic outcomes or important educational decisions.</t>
  </si>
  <si>
    <t>ChatGPT explains that AI-generated lecture summaries are generally classified as minimal-risk AI because they support learning and productivity rather than evaluating students or determining educational outcomes. It also notes possible transparency and GDPR considerations when personal data or generative AI is involved.</t>
  </si>
  <si>
    <t>ChatGPT explains that university chatbots providing basic administrative information are generally considered minimal-risk AI because they mainly function as informational support tools without significantly affecting individuals’ rights or opportunities. Transparency obligations may still apply because users interact with AI.</t>
  </si>
  <si>
    <t>ChatGPT explains that AI spelling-correction tools generally do not require major compliance obligations because they are treated as low-impact or minimal-risk AI systems focused on supportive language assistance rather than consequential decision-making.</t>
  </si>
  <si>
    <t>ChatGPT explains that AI presentation-formatting tools are generally classified as minimal-risk AI because they mainly assist with organization, design, and productivity rather than making decisions affecting rights, opportunities, or educational outcomes.</t>
  </si>
  <si>
    <t>ChatGPT explains that AI timetable recommendation systems are generally considered minimal-risk AI because they provide scheduling assistance without autonomously determining educational opportunities or materially affecting individuals’ rights.</t>
  </si>
  <si>
    <t>ChatGPT explains that AI-generated study flashcards would generally fall outside high-risk classification because they mainly support learning and revision activities rather than making educational or disciplinary decisions affecting students.</t>
  </si>
  <si>
    <t>ChatGPT explains that AI translation tools for lecture notes are generally classified as minimal-risk AI because they support multilingual learning and accessibility without evaluating students or making important educational decisions. Transparency and GDPR obligations may still apply where personal data is processed.</t>
  </si>
  <si>
    <t>ChatGPT explains that AI tools organizing research references are generally considered minimal-risk AI because they mainly support productivity and information management rather than affecting individuals’ rights, evaluations, or opportunities.</t>
  </si>
  <si>
    <t>ChatGPT explains that simple administrative AI assistants are generally treated as minimal-risk AI systems because they support routine operational tasks such as scheduling, FAQs, and workflow assistance without making high-impact decisions about individuals.</t>
  </si>
  <si>
    <t>ChatGPT explains that student-facing AI chatbots generally must disclose that users are interacting with AI under Article 50 of the EU AI Act. The response emphasizes transparency, user awareness, accessibility, human escalation options, and avoiding deception about whether users are communicating with humans.</t>
  </si>
  <si>
    <t>ChatGPT explains that AI-generated synthetic voices generally require transparency disclosures when listeners could mistake them for authentic human speech. Key concerns include deception, impersonation, consent, synthetic-media labeling, and maintaining trust in educational or public contexts.</t>
  </si>
  <si>
    <t>ChatGPT explains that AI-generated educational videos should generally be labeled as AI-generated content, especially when realistic synthetic media or manipulated audiovisual elements could mislead viewers about authenticity or authorship.</t>
  </si>
  <si>
    <t>ChatGPT explains that generative AI used in classroom materials creates transparency obligations because students should understand when educational content has been AI-generated or AI-assisted, particularly where reliability, authorship, or academic integrity may be affected.</t>
  </si>
  <si>
    <t>ChatGPT explains that AI tutoring assistants generally fall within the limited-risk transparency framework because they directly interact with students. The response highlights disclosure obligations, human oversight, avoidance of anthropomorphic deception, and user awareness about AI-generated responses.</t>
  </si>
  <si>
    <t>ChatGPT explains that students should generally disclose meaningful use of AI-generated text in assignments to support transparency, academic integrity, accountability, and responsible educational AI practices.</t>
  </si>
  <si>
    <t>ChatGPT explains that AI-generated realistic images generally require disclosure when viewers could mistake synthetic images for authentic content. Transparency is emphasized to reduce deception risks and maintain trust in educational and public communications.</t>
  </si>
  <si>
    <t>ChatGPT explains that conversational AI systems in education can trigger limited-risk transparency obligations because they directly interact with students and users. Key requirements include disclosure of AI interaction, human oversight, privacy safeguards, and preventing misleading human imitation.</t>
  </si>
  <si>
    <t>ChatGPT explains that AI-generated summaries used in academic advising generally require transparency measures because students may rely on AI-generated guidance for important educational decisions. It emphasizes disclosure of AI involvement, human review, and opportunities for human support or appeals.</t>
  </si>
  <si>
    <t>ChatGPT explains that universities deploying generative AI services should disclose AI interaction, label AI-generated content, explain system limitations, maintain human oversight, clarify data-processing practices, and establish governance policies supporting transparency and accountability.</t>
  </si>
  <si>
    <t>ChatGPT explains that AI systems materially influencing student admissions are likely classified as high-risk AI because they affect access to education, career opportunities, and equal treatment. The response highlights obligations related to fairness, transparency, human oversight, bias mitigation, and governance.</t>
  </si>
  <si>
    <t>ChatGPT explains that predictive AI systems assessing student academic success may become high-risk when they significantly influence admissions, scholarships, progression, or educational opportunities. The risk depends on how strongly predictions affect decisions.</t>
  </si>
  <si>
    <t>ChatGPT explains that facial-recognition systems for campus access can trigger high-risk obligations because they involve biometric identification, sensitive personal data, surveillance concerns, and possible impacts on access rights and privacy.</t>
  </si>
  <si>
    <t>ChatGPT explains that AI exam-monitoring systems may raise high-risk concerns because they involve surveillance, biometric monitoring, behavioral analysis, privacy intrusion, discrimination risks, and possible automated disciplinary consequences affecting students.</t>
  </si>
  <si>
    <t>ChatGPT explains that scholarship-ranking AI systems are likely high-risk because they materially affect educational access, funding opportunities, fairness, and equality. The response highlights bias risks, transparency requirements, and the need for meaningful human oversight.</t>
  </si>
  <si>
    <t>ChatGPT explains that AI behavioral profiling of students may fall within the high-risk category because profiling can influence disciplinary actions, educational progression, and institutional treatment, raising concerns related to discrimination, surveillance, and fairness.</t>
  </si>
  <si>
    <t>ChatGPT explains that educational AI systems evaluating student performance may trigger strict compliance obligations when they significantly influence grading, advancement, certification, or educational opportunities. The impact and level of reliance on automation are key determining factors.</t>
  </si>
  <si>
    <t>ChatGPT explains that AI systems materially influencing disciplinary decisions can be considered high-risk because they may affect students’ rights, educational standing, and future opportunities. Concerns include profiling, surveillance, discrimination, transparency, and procedural fairness.</t>
  </si>
  <si>
    <t>ChatGPT explains that biometric identification systems in universities often require high-risk compliance measures because they process sensitive biometric data and may involve surveillance, access control, monitoring, and identity verification affecting students and staff.</t>
  </si>
  <si>
    <t>ChatGPT explains that high-risk educational AI systems require extensive obligations including risk management, data governance, technical documentation, logging, transparency, human oversight, robustness testing, conformity assessment, and GDPR-aligned protections for students’ rights an</t>
  </si>
  <si>
    <t>ChatGPT explains that GPAI models are broad-purpose AI models capable of performing many different tasks across multiple downstream applications. It distinguishes GPAI models from deployed AI systems and highlights obligations related to documentation, transparency, copyright compliance, and systemic-risk governance.</t>
  </si>
  <si>
    <t>ChatGPT explains that GPAI models differ from traditional AI systems because they are reusable, highly generalizable foundation models capable of supporting many tasks and applications, whereas traditional AI systems are usually narrow and purpose-specific.</t>
  </si>
  <si>
    <t>ChatGPT explains that GPAI providers may face obligations involving technical documentation, transparency, copyright compliance, risk assessment, safety testing, incident reporting, and governance measures, especially for GPAI models presenting systemic risks.</t>
  </si>
  <si>
    <t>ChatGPT explains that integrating ChatGPT into university systems raises GPAI-related governance considerations involving transparency, hallucination risks, privacy, educational fairness, human oversight, and the possibility that some deployments may become high-risk depending on their purpose and impact.</t>
  </si>
  <si>
    <t>ChatGPT explains that generative AI systems should disclose AI interaction and AI-generated content, particularly where synthetic media or realistic outputs could mislead users about authenticity, authorship, or human involvement.</t>
  </si>
  <si>
    <t>ChatGPT explains that fine-tuning foundation or GPAI models may create additional compliance responsibilities because modifying or deploying adapted models can introduce new governance, transparency, documentation, and risk-management obligations.</t>
  </si>
  <si>
    <t>ChatGPT explains that universities should evaluate risks including hallucinations, misinformation, bias, discrimination, privacy concerns, overreliance on AI, surveillance risks, transparency issues, and governance accountability before deploying GPAI systems.</t>
  </si>
  <si>
    <t>ChatGPT explains that GPAI systems may generate fabricated facts, fake citations, misleading explanations, biased content, and synthetic misinformation while appearing authoritative. The response emphasizes verification, AI literacy, human oversight, and fact-checking as important mitigation measures.</t>
  </si>
  <si>
    <t>ChatGPT explains that GPAI systems may require technical documentation, training-data summaries, copyright-compliance records, risk assessments, testing records, incident documentation, cybersecurity measures, and governance documentation to support transparency and accountability.</t>
  </si>
  <si>
    <t>ChatGPT explains that human oversight is essential because foundation models may generate hallucinations, biased outputs, inaccurate guidance, or harmful recommendations affecting students and educational outcomes. Human review helps preserve accountability, fairness, educational q</t>
  </si>
  <si>
    <t>ChatGPT explains that customer-support chatbots are generally considered limited-risk AI systems. Main obligations include transparency toward users, human oversight, AI literacy, GDPR compliance, monitoring, logging, and vendor due diligence, especially when GPAI models are involved.</t>
  </si>
  <si>
    <t>ChatGPT explains that recruitment and applicant-screening systems are explicitly identified as high-risk AI because they can significantly affect employment opportunities. Key obligations include risk management, fairness testing, human oversight, transparency, logging, robustness, and GDPR compliance.</t>
  </si>
  <si>
    <t>ChatGPT explains that AI employee-monitoring systems raise concerns related to surveillance, privacy, fairness, proportionality, transparency, discrimination, worker autonomy, and psychological pressure. Human oversight, governance policies, and GDPR compliance are emphasized.</t>
  </si>
  <si>
    <t>ChatGPT explains that AI-generated marketing content and synthetic product images may require transparency disclosures when users could mistake synthetic content for authentic human-created material. Transparency and avoidance of deceptive synthetic media are highlighted.</t>
  </si>
  <si>
    <t>ChatGPT explains that healthcare-prioritization AI systems may potentially fall into the high-risk category because they can affect access to healthcare services and patient wellbeing. The response highlights governance, fairness, transparency, reliability, and human oversight requirements.</t>
  </si>
  <si>
    <t>ChatGPT explains that SMEs using ChatGPT internally should implement governance measures including transparency, staff guidance, hallucination monitoring, human oversight, documentation, privacy protection, and accountability procedures for AI-assisted workflows.</t>
  </si>
  <si>
    <t>ChatGPT explains that predictive-maintenance and safety-monitoring systems may trigger stricter obligations when they affect operational safety or critical infrastructure. Recommended measures include risk assessments, documentation, monitoring, transparency, reliability testing, and human oversight.</t>
  </si>
  <si>
    <t>ChatGPT explains that collecting customer voice recordings raises major concerns involving GDPR compliance, biometric data processing, transparency, consent, retention policies, security, AI training reuse, vendor management, and discrimination risks in voice AI systems.</t>
  </si>
  <si>
    <t>ChatGPT explains that loan-evaluation AI systems are very likely classified as high-risk AI because they affect access to essential financial services. The response highlights fairness, explainability, bias mitigation, human oversight, logging, GDPR compliance, and risk-management obligations.</t>
  </si>
  <si>
    <t>ChatGPT explains that emotion-recognition systems raise significant concerns related to biometric-data processing, privacy, transparency, scientific reliability, discrimination, manipulation, surveillance, and proportionality. The response emphasizes heightened scrutiny under the EU AI Act and GDPR.</t>
  </si>
  <si>
    <t>The summary is legally aligned and reflects the book’s practical governance-oriented guidance.</t>
  </si>
  <si>
    <t>The summary correctly applies the risk-based framework and identifies the main safeguards expected for this scenario.</t>
  </si>
  <si>
    <t>The summary aligns with the prohibited-practices framework and explains the relevant fundamental-rights concerns.</t>
  </si>
  <si>
    <t>The summary accurately captures the transparency/disclosure logic and is suitable for practical compliance guidance.</t>
  </si>
  <si>
    <t>Mostly correct, but it blurs biometric identification with biometric verification/authentication; the EU AI Act treats these differently.</t>
  </si>
  <si>
    <t>Correctly flags sensitivity, but campus access may involve verification rather than high-risk biometric identification, so the classification needs more nuance.</t>
  </si>
  <si>
    <t>Correct concern, but the response should more clearly state that emotion recognition in education is generally prohibited except limited medical or safety purposes.</t>
  </si>
  <si>
    <t>Mostly aligned, but not every student scoring system is prohibited social scoring; the detrimental, disproportionate, or unrelated-treatment conditions should be clearer.</t>
  </si>
  <si>
    <t>Correctly identifies serious concern, but the response should state more directly that biometric categorisation to infer sensitive characteristics is prohibited.</t>
  </si>
  <si>
    <t>The response identifies real concerns, but the boundary between prohibited social scoring and high-risk educational profiling needs clearer legal distinction.</t>
  </si>
  <si>
    <t>Useful transparency guidance, but it overstates legal disclosure duties for all classroom material; Article 50 depends on interaction, synthetic content, or risk of deception.</t>
  </si>
  <si>
    <t>Good academic-integrity guidance, but the EU AI Act does not impose a general student-assignment disclosure duty in the same way it regulates providers/deployers.</t>
  </si>
  <si>
    <t>Correctly flags sensitivity, but it should distinguish biometric identification from access-control verification, which may affect whether high-risk obligations apply.</t>
  </si>
  <si>
    <t>Mostly correct, but it overgeneralizes high-risk treatment for university biometric systems without clearly separating identification from verification/authentication.</t>
  </si>
  <si>
    <t>The response is directionally correct, but it should clarify that added obligations depend on deployment, market placement, role, and whether substantial modification occurs.</t>
  </si>
  <si>
    <t>The summary accurately captures the transparency/disclosure logic and is suitable for practical compliance guidance. Monotoring part is needed to explain.</t>
  </si>
  <si>
    <t>Mostly correct, but it should distinguish ordinary predictive maintenance from AI used as a safety component or in critical infrastructure.</t>
  </si>
  <si>
    <t>The summary accurately captures the transparency/disclosure logic and is suitable for practical compliance guidance. Prohibited AI practices under Article 5 does'rt mension.</t>
  </si>
  <si>
    <t>The most summary correctly applies the risk-based framework and identifies the main safeguards expected for this scenario.</t>
  </si>
  <si>
    <t>The response identifies the right risks, but should more clearly distinguish prohibited contexts from high-risk biometric emotion recognition and general transparency duties.</t>
  </si>
  <si>
    <t>The response is legally consistent with the expected EU AI Act interpretation.</t>
  </si>
  <si>
    <t>The response is partially aligned but lacks important legal nuance.</t>
  </si>
  <si>
    <t>The response is clear, accessible, and understandable for students, SMEs, or non-legal users.</t>
  </si>
  <si>
    <t>The response is moderate clear, accessible, and understandable for students, SMEs, or non-legal users.</t>
  </si>
  <si>
    <t>Overall, the response is reliable for educational compliance guidance. The summary is legally aligned and reflects the book’s practical governance-oriented guidance.</t>
  </si>
  <si>
    <t>Overall, the response is reliable for educational compliance guidance. The summary correctly applies the risk-based framework and identifies the main safeguards expected for this scenario.</t>
  </si>
  <si>
    <t>Overall, the response is reliable for educational compliance guidance. The summary aligns with the prohibited-practices framework and explains the relevant fundamental-rights concerns.</t>
  </si>
  <si>
    <t>Overall, the response is reliable for educational compliance guidance. The summary accurately captures the transparency/disclosure logic and is suitable for practical compliance guidance.</t>
  </si>
  <si>
    <t>Overall, the response is reliable for educational compliance guidance. Mostly correct, but it blurs biometric identification with biometric verification/authentication; the EU AI Act treats these differently.</t>
  </si>
  <si>
    <t>Overall, the response is reliable for educational compliance guidance. Correctly flags sensitivity, but campus access may involve verification rather than high-risk biometric identification, so the classification needs more nuance.</t>
  </si>
  <si>
    <t>Overall, the response is reliable for educational compliance guidance. Correct concern, but the response should more clearly state that emotion recognition in education is generally prohibited except limited medical or safety purposes.</t>
  </si>
  <si>
    <t>Overall, the response is reliable for educational compliance guidance. Mostly aligned, but not every student scoring system is prohibited social scoring; the detrimental, disproportionate, or unrelated-treatment conditions should be clearer.</t>
  </si>
  <si>
    <t>Overall, the response is reliable for educational compliance guidance. Correctly identifies serious concern, but the response should state more directly that biometric categorisation to infer sensitive characteristics is prohibited.</t>
  </si>
  <si>
    <t>Overall, the response is reliable for educational compliance guidance. The response identifies real concerns, but the boundary between prohibited social scoring and high-risk educational profiling needs clearer legal distinction.</t>
  </si>
  <si>
    <t>Overall, the response is reliable for educational compliance guidance. Useful transparency guidance, but it overstates legal disclosure duties for all classroom material; Article 50 depends on interaction, synthetic content, or risk of deception.</t>
  </si>
  <si>
    <t>Overall, the response is reliable for educational compliance guidance. Good academic-integrity guidance, but the EU AI Act does not impose a general student-assignment disclosure duty in the same way it regulates providers/deployers.</t>
  </si>
  <si>
    <t>Overall, the response is reliable for educational compliance guidance. Correctly flags sensitivity, but it should distinguish biometric identification from access-control verification, which may affect whether high-risk obligations apply.</t>
  </si>
  <si>
    <t>Overall, the response is reliable for educational compliance guidance. Mostly correct, but it overgeneralizes high-risk treatment for university biometric systems without clearly separating identification from verification/authentication.</t>
  </si>
  <si>
    <t>Overall, the response is reliable for educational compliance guidance. The response is directionally correct, but it should clarify that added obligations depend on deployment, market placement, role, and whether substantial modification occurs.</t>
  </si>
  <si>
    <t>Overall, the response is reliable for educational compliance guidance. The summary accurately captures the transparency/disclosure logic and is suitable for practical compliance guidance. Monotoring part is needed to explain.</t>
  </si>
  <si>
    <t>Overall, the response is reliable for educational compliance guidance. Mostly correct, but it should distinguish ordinary predictive maintenance from AI used as a safety component or in critical infrastructure.</t>
  </si>
  <si>
    <t>Overall, the response is reliable for educational compliance guidance. The summary accurately captures the transparency/disclosure logic and is suitable for practical compliance guidance. Prohibited AI practices under Article 5 does'rt mension.</t>
  </si>
  <si>
    <t>Overall, the response is reliable for educational compliance guidance. The most summary correctly applies the risk-based framework and identifies the main safeguards expected for this scenario.</t>
  </si>
  <si>
    <t>Overall, the response is reliable for educational compliance guidance. The response identifies the right risks, but should more clearly distinguish prohibited contexts from high-risk biometric emotion recognition and general transparency duties.</t>
  </si>
  <si>
    <t>No significant unsupported legal/compliance claims detected.</t>
  </si>
  <si>
    <t>Some assumptions or unsupported interpretations are present.</t>
  </si>
  <si>
    <t>The response promotes responsible AI governance and proportionate compliance awareness.</t>
  </si>
  <si>
    <t>The response supports governance awareness but lacks some safeguards or contextual guidance.</t>
  </si>
  <si>
    <r>
      <t xml:space="preserve">The response is </t>
    </r>
    <r>
      <rPr>
        <sz val="12"/>
        <color rgb="FFFF0000"/>
        <rFont val="Aptos Narrow"/>
      </rPr>
      <t>somewha</t>
    </r>
    <r>
      <rPr>
        <sz val="12"/>
        <color rgb="FF000000"/>
        <rFont val="Aptos Narrow"/>
      </rPr>
      <t xml:space="preserve">t  clear, accessible, and understandable for students, SMEs, or non-legal users. </t>
    </r>
    <r>
      <rPr>
        <sz val="12"/>
        <color rgb="FFFF0000"/>
        <rFont val="Aptos Narrow"/>
      </rPr>
      <t xml:space="preserve">It includes terminology that could be explained more plainly for educational purposes. </t>
    </r>
  </si>
  <si>
    <r>
      <t>The response is clear, accessible, and understandable for students, SMEs, or non-legal users. S</t>
    </r>
    <r>
      <rPr>
        <sz val="12"/>
        <color rgb="FFFF0000"/>
        <rFont val="Aptos Narrow"/>
      </rPr>
      <t>ome language could be explained more plainly.</t>
    </r>
  </si>
  <si>
    <r>
      <t>The summary accurately captures the transparency/disclosure logic and is suitable for practical compliance guidance</t>
    </r>
    <r>
      <rPr>
        <sz val="12"/>
        <color rgb="FFFF0000"/>
        <rFont val="Aptos Narrow"/>
      </rPr>
      <t>. Not including high-risk AI system specific obligations about transparency to deployers  (article 13)</t>
    </r>
  </si>
  <si>
    <t xml:space="preserve">The summary is legally aligned and reflects the book’s practical governance-oriented guidance. </t>
  </si>
  <si>
    <r>
      <t xml:space="preserve">The summary is legally aligned and reflects the book’s practical governance-oriented guidance. </t>
    </r>
    <r>
      <rPr>
        <sz val="12"/>
        <color rgb="FFFF0000"/>
        <rFont val="Aptos Narrow"/>
      </rPr>
      <t>Ideally, the anwer would refer to AI Act definitions more clearly: that deployer is using an AI system 'under its authority' which often means that it is using it in practise. Ideally, the anwer would also explain that provider definition covers provider' of GPAIs as well (now only AI systems are mentioned).</t>
    </r>
  </si>
  <si>
    <r>
      <t xml:space="preserve">The response is </t>
    </r>
    <r>
      <rPr>
        <sz val="12"/>
        <color rgb="FFFF0000"/>
        <rFont val="Aptos Narrow"/>
      </rPr>
      <t>somewhat</t>
    </r>
    <r>
      <rPr>
        <sz val="12"/>
        <color rgb="FF000000"/>
        <rFont val="Aptos Narrow"/>
      </rPr>
      <t xml:space="preserve">  clear, accessible, and understandable for students, SMEs, or non-legal users.</t>
    </r>
    <r>
      <rPr>
        <sz val="12"/>
        <color rgb="FFFF0000"/>
        <rFont val="Aptos Narrow"/>
      </rPr>
      <t xml:space="preserve"> The word "entity" can be confusing.</t>
    </r>
  </si>
  <si>
    <r>
      <t>The summary accurately captures the transparency/disclosure logic and is suitable for practical compliance guidance.</t>
    </r>
    <r>
      <rPr>
        <sz val="12"/>
        <color rgb="FFFF0000"/>
        <rFont val="Aptos Narrow"/>
      </rPr>
      <t xml:space="preserve"> </t>
    </r>
  </si>
  <si>
    <r>
      <t xml:space="preserve">The summary correctly applies the risk-based framework and identifies the main safeguards expected for this scenario. </t>
    </r>
    <r>
      <rPr>
        <sz val="12"/>
        <color rgb="FFFF0000"/>
        <rFont val="Aptos Narrow"/>
      </rPr>
      <t>Biometric identification is not clearly distinquished from verification</t>
    </r>
    <r>
      <rPr>
        <sz val="12"/>
        <color rgb="FF000000"/>
        <rFont val="Aptos Narrow"/>
      </rPr>
      <t>.</t>
    </r>
  </si>
  <si>
    <r>
      <t xml:space="preserve">The response is legally consistent with the expected EU AI Act interpretation. </t>
    </r>
    <r>
      <rPr>
        <sz val="12"/>
        <color rgb="FFFF0000"/>
        <rFont val="Aptos Narrow"/>
      </rPr>
      <t>Biometric identification is not clearly distinquished from verification.</t>
    </r>
  </si>
  <si>
    <r>
      <t>The summary correctly applies the risk-based framework and identifies the main safeguards expected for this scenario.  I</t>
    </r>
    <r>
      <rPr>
        <sz val="12"/>
        <color rgb="FFFF0000"/>
        <rFont val="Aptos Narrow"/>
      </rPr>
      <t xml:space="preserve">deally, the answer would explain AI systems AI systems intended to be used to </t>
    </r>
    <r>
      <rPr>
        <b/>
        <sz val="12"/>
        <color rgb="FFFF0000"/>
        <rFont val="Aptos Narrow"/>
      </rPr>
      <t>evaluate</t>
    </r>
    <r>
      <rPr>
        <sz val="12"/>
        <color rgb="FFFF0000"/>
        <rFont val="Aptos Narrow"/>
      </rPr>
      <t xml:space="preserve"> learning outcomes are high-risk. Predicting, if not used for evaluating learning outcomes, may fall out of scope. Overall correct as the answer includes "may".</t>
    </r>
  </si>
  <si>
    <t xml:space="preserve">The response is clear, accessible, and understandable for students, SMEs, or non-legal users. </t>
  </si>
  <si>
    <r>
      <t xml:space="preserve">The response promotes responsible AI governance and proportionate compliance awareness. </t>
    </r>
    <r>
      <rPr>
        <sz val="12"/>
        <color rgb="FFFF0000"/>
        <rFont val="Aptos Narrow"/>
      </rPr>
      <t xml:space="preserve">Less "practical" suggestions for mitigations than in TESSA version's answer and overall shorter answer. </t>
    </r>
  </si>
  <si>
    <r>
      <t xml:space="preserve">The summary is legally aligned and reflects the book’s practical governance-oriented guidance. </t>
    </r>
    <r>
      <rPr>
        <sz val="12"/>
        <color rgb="FFFF0000"/>
        <rFont val="Aptos Narrow"/>
      </rPr>
      <t>Useful risk-based answer,  should connect more explicitly to Annex III education uses when recommendations materially affect outcomes.</t>
    </r>
  </si>
  <si>
    <t xml:space="preserve">The response is legally consistent with the expected EU AI Act interpretation. </t>
  </si>
  <si>
    <r>
      <t xml:space="preserve">The summary is legally aligned and reflects the book’s practical governance-oriented guidance. </t>
    </r>
    <r>
      <rPr>
        <sz val="12"/>
        <color rgb="FFFF0000"/>
        <rFont val="Aptos Narrow"/>
      </rPr>
      <t>Potential high-risk (if used to monitor students ) not noted.</t>
    </r>
  </si>
  <si>
    <r>
      <t>The response is clear, accessible, and understandable for students, SMEs, or non-legal users.</t>
    </r>
    <r>
      <rPr>
        <sz val="12"/>
        <color rgb="FFFF0000"/>
        <rFont val="Aptos Narrow"/>
      </rPr>
      <t xml:space="preserve"> I find the answer less usable for an average user than the one in TESSA version as there is less practical guidance.</t>
    </r>
  </si>
  <si>
    <r>
      <t>The summary accurately captures the transparency/disclosure logic and is suitable for practical compliance guidance.</t>
    </r>
    <r>
      <rPr>
        <sz val="12"/>
        <color rgb="FFFF0000"/>
        <rFont val="Aptos Narrow"/>
      </rPr>
      <t xml:space="preserve"> It should be noted that substantially modifying an AI system  could lead to the deployer becoming the provider.</t>
    </r>
  </si>
  <si>
    <r>
      <t xml:space="preserve">The response is clear, accessible, and understandable for students, SMEs, or non-legal users. </t>
    </r>
    <r>
      <rPr>
        <sz val="12"/>
        <color rgb="FFFF0000"/>
        <rFont val="Aptos Narrow"/>
      </rPr>
      <t>A bit less clear as there is "may" instead of clear recommendation</t>
    </r>
  </si>
  <si>
    <r>
      <t>The summary correctly applies the risk-based framework and identifies the main safeguards expected for this scenario.</t>
    </r>
    <r>
      <rPr>
        <sz val="12"/>
        <color rgb="FFFF0000"/>
        <rFont val="Aptos Narrow"/>
      </rPr>
      <t xml:space="preserve">The answer does not specify safeguards effectively </t>
    </r>
  </si>
  <si>
    <r>
      <t>The response is clear, accessible, and understandable for students, SMEs, or non-legal users. C</t>
    </r>
    <r>
      <rPr>
        <sz val="12"/>
        <color rgb="FFFF0000"/>
        <rFont val="Aptos Narrow"/>
      </rPr>
      <t>ould me more specific on the concerns.</t>
    </r>
  </si>
  <si>
    <r>
      <t xml:space="preserve">The summary correctly applies the risk-based framework and identifies the main safeguards expected for this scenario. </t>
    </r>
    <r>
      <rPr>
        <sz val="12"/>
        <color rgb="FFFF0000"/>
        <rFont val="Aptos Narrow"/>
      </rPr>
      <t>High-risk scenario could be explained in more depth.</t>
    </r>
  </si>
  <si>
    <r>
      <t xml:space="preserve">The response is legally consistent with the expected EU AI Act interpretation. </t>
    </r>
    <r>
      <rPr>
        <sz val="12"/>
        <color rgb="FFFF0000"/>
        <rFont val="Aptos Narrow"/>
      </rPr>
      <t>High-risk scenario could be explained in more depth.</t>
    </r>
  </si>
  <si>
    <r>
      <t xml:space="preserve">The summary correctly applies the risk-based framework. </t>
    </r>
    <r>
      <rPr>
        <sz val="12"/>
        <color rgb="FFFF0000"/>
        <rFont val="Aptos Narrow"/>
      </rPr>
      <t>Safeguards are not identified clearly.</t>
    </r>
  </si>
  <si>
    <t>The response promotes responsible AI governance and proportionate compliance awareness. Less practical suggestions for safeguards.</t>
  </si>
  <si>
    <r>
      <t xml:space="preserve">Correct concern, but the </t>
    </r>
    <r>
      <rPr>
        <sz val="12"/>
        <color rgb="FFFF0000"/>
        <rFont val="Aptos Narrow"/>
      </rPr>
      <t xml:space="preserve">response should more clearly state that emotion recognition in education is generally prohibited except limited medical or safety purposes. </t>
    </r>
    <r>
      <rPr>
        <b/>
        <sz val="12"/>
        <color rgb="FFFF0000"/>
        <rFont val="Aptos Narrow"/>
      </rPr>
      <t>Prohibition overrules high-risk obligations.</t>
    </r>
  </si>
  <si>
    <r>
      <t xml:space="preserve">The response is partially aligned but lacks important legal nuance. </t>
    </r>
    <r>
      <rPr>
        <sz val="12"/>
        <color rgb="FFFF0000"/>
        <rFont val="Aptos Narrow"/>
      </rPr>
      <t>Does not clearly state emotion recognition in education prohibited. Prohibition overrules high-risk obligations.</t>
    </r>
  </si>
  <si>
    <t>The response supports governance awareness but lacks key safeguards.</t>
  </si>
  <si>
    <r>
      <t xml:space="preserve">Some assumptions or unsupported interpretations are present. </t>
    </r>
    <r>
      <rPr>
        <sz val="12"/>
        <color rgb="FFFF0000"/>
        <rFont val="Aptos Narrow"/>
      </rPr>
      <t>Does not explain emotion recognition is prohibited a in education (except for medical or other exception purposes) and does not clearly answer the question</t>
    </r>
  </si>
  <si>
    <t xml:space="preserve"> should more clearly state that emotion recognition in education is generally prohibited except limited medical or safety purposes.</t>
  </si>
  <si>
    <r>
      <t xml:space="preserve">The summary accurately captures the transparency/disclosure logic and is suitable for practical compliance guidance. </t>
    </r>
    <r>
      <rPr>
        <sz val="12"/>
        <color rgb="FFFF0000"/>
        <rFont val="Aptos Narrow"/>
      </rPr>
      <t>It does not mention use case can change the risk level.</t>
    </r>
  </si>
  <si>
    <r>
      <t>The response is legally consistent with the expected EU AI Act interpretation.</t>
    </r>
    <r>
      <rPr>
        <sz val="12"/>
        <color rgb="FFFF0000"/>
        <rFont val="Aptos Narrow"/>
      </rPr>
      <t xml:space="preserve"> It does not mention use case can change the risk level.</t>
    </r>
  </si>
  <si>
    <r>
      <t xml:space="preserve">The response promotes responsible AI governance and proportionate compliance awareness. </t>
    </r>
    <r>
      <rPr>
        <sz val="12"/>
        <color rgb="FFFF0000"/>
        <rFont val="Aptos Narrow"/>
      </rPr>
      <t>Does not include practical / holistic advice.</t>
    </r>
  </si>
  <si>
    <r>
      <t>The summary is legally aligned and reflects the book’s practical governance-oriented guidance. T</t>
    </r>
    <r>
      <rPr>
        <sz val="12"/>
        <color rgb="FFFF0000"/>
        <rFont val="Aptos Narrow"/>
      </rPr>
      <t>he answer should specify that if the project falls under high-risk, there is additional technical documentation that should be conducted.</t>
    </r>
  </si>
  <si>
    <r>
      <t>The response is legally consistent with the expected EU AI Act interpretation. T</t>
    </r>
    <r>
      <rPr>
        <sz val="12"/>
        <color rgb="FFFF0000"/>
        <rFont val="Aptos Narrow"/>
      </rPr>
      <t>he answer should specify that if the project falls under high-risk, there is additional technical documentation that should be conducted.</t>
    </r>
  </si>
  <si>
    <r>
      <t xml:space="preserve">The summary correctly applies the risk-based framework. </t>
    </r>
    <r>
      <rPr>
        <sz val="12"/>
        <color rgb="FFFF0000"/>
        <rFont val="Aptos Narrow"/>
      </rPr>
      <t>Does not evaluate which the roles could be (deployer, provider etc). Does not mention high-risk obligations.</t>
    </r>
  </si>
  <si>
    <t xml:space="preserve">Does not evaluate which the roles could be (deployer, provider etc). </t>
  </si>
  <si>
    <t>Lacks role definitions.</t>
  </si>
  <si>
    <r>
      <t xml:space="preserve">The summary is legally aligned and reflects the book’s practical governance-oriented guidance. </t>
    </r>
    <r>
      <rPr>
        <sz val="12"/>
        <color rgb="FFFF0000"/>
        <rFont val="Aptos Narrow"/>
      </rPr>
      <t>Does not specify that article 14 (human oversight under AI Act) applies (only) to high-risk AI as regulatory obligation while it can be recommended for lower-risk AI but is not a legal requirement.</t>
    </r>
  </si>
  <si>
    <r>
      <t xml:space="preserve">The response is legally consistent with the expected EU AI Act interpretation. </t>
    </r>
    <r>
      <rPr>
        <sz val="12"/>
        <color rgb="FFFF0000"/>
        <rFont val="Aptos Narrow"/>
      </rPr>
      <t>Does not specify that article 14 (human oversight under AI Act) applies to high-risk AI as regulatory obligation while it can be recommended for lower-risk AI but is not a legal requirement.</t>
    </r>
  </si>
  <si>
    <t>Ambiguity on high-risk AI vs. other AI used in education context.</t>
  </si>
  <si>
    <r>
      <t xml:space="preserve">Overall, the response is reliable for educational compliance guidance. The summary is legally aligned and reflects the book’s practical governance-oriented guidance. </t>
    </r>
    <r>
      <rPr>
        <sz val="12"/>
        <color rgb="FFFF0000"/>
        <rFont val="Aptos Narrow"/>
      </rPr>
      <t>Ambiguity on high-risk AI vs. other AI used in education context.</t>
    </r>
  </si>
  <si>
    <r>
      <t xml:space="preserve">The response is legally consistent with the expected EU AI Act interpretation. </t>
    </r>
    <r>
      <rPr>
        <sz val="12"/>
        <color rgb="FFFF0000"/>
        <rFont val="Aptos Narrow"/>
      </rPr>
      <t>Does not include reference on the exception for AI text outputs (human review, editorial responsibility)</t>
    </r>
  </si>
  <si>
    <r>
      <t>The response is legally consistent with the expected EU AI Act interpretation.</t>
    </r>
    <r>
      <rPr>
        <sz val="12"/>
        <color rgb="FFFF0000"/>
        <rFont val="Aptos Narrow"/>
      </rPr>
      <t>Should specify that human oversight is bligatory for high-risk AI under the EU AI Act (not all AI systems).</t>
    </r>
  </si>
  <si>
    <r>
      <t>The response promotes responsible AI governance and proportionate compliance awareness.</t>
    </r>
    <r>
      <rPr>
        <sz val="12"/>
        <color rgb="FFFF0000"/>
        <rFont val="Aptos Narrow"/>
      </rPr>
      <t xml:space="preserve"> The advice could include clearer next steps or recommendations.</t>
    </r>
  </si>
  <si>
    <r>
      <t>Useful transparency guidance, but it overstates legal disclosure duties for all classroom material; Article 50 depends on interaction, synthetic content, or risk of deception.</t>
    </r>
    <r>
      <rPr>
        <sz val="12"/>
        <color rgb="FFFF0000"/>
        <rFont val="Aptos Narrow"/>
      </rPr>
      <t xml:space="preserve"> Ideally, the answer would acknowledfe that the obligation does not apply   where  the AI-generated content has undergone a process of human review or editorial control.</t>
    </r>
  </si>
  <si>
    <r>
      <t>Good academic-integrity guidance, but the EU AI Act does not impose a general student-assignment disclosure duty in the same way it regulates providers/deployers. I</t>
    </r>
    <r>
      <rPr>
        <sz val="12"/>
        <color rgb="FFFF0000"/>
        <rFont val="Aptos Narrow"/>
      </rPr>
      <t>deally, the answer would acknowledfe that the obligation does not apply   where  the AI-generated content has undergone a process of human review or editorial control.</t>
    </r>
  </si>
  <si>
    <r>
      <t>The response is partially aligned but lacks important legal nuance.</t>
    </r>
    <r>
      <rPr>
        <sz val="12"/>
        <color rgb="FFFF0000"/>
        <rFont val="Aptos Narrow"/>
      </rPr>
      <t xml:space="preserve"> </t>
    </r>
  </si>
  <si>
    <r>
      <t>The summary correctly applies the risk-based framework and identifies the main safeguards expected for this scenario.</t>
    </r>
    <r>
      <rPr>
        <sz val="12"/>
        <color rgb="FFFF0000"/>
        <rFont val="Aptos Narrow"/>
      </rPr>
      <t xml:space="preserve"> The answer should mention that AI use is potentially high risk as employees are monitored = performance evaluation  (and especially if monitoring could lead to terminating</t>
    </r>
    <r>
      <rPr>
        <sz val="12"/>
        <color rgb="FF000000"/>
        <rFont val="Aptos Narrow"/>
      </rPr>
      <t xml:space="preserve"> employment).</t>
    </r>
  </si>
  <si>
    <r>
      <t xml:space="preserve">The response is legally consistent with the expected EU AI Act interpretation. </t>
    </r>
    <r>
      <rPr>
        <sz val="12"/>
        <color rgb="FFFF0000"/>
        <rFont val="Aptos Narrow"/>
      </rPr>
      <t>The answer should mention that AI use is potentially high risk as employees are monitored (and especially if monitoring could lead to terminating employment).</t>
    </r>
  </si>
  <si>
    <t>The response should define an AI system as a machine-based system with varying autonomy that infers from input to generate outputs such as predictions, content, recommendations, or decisions that may influence physical or virtual environments.</t>
  </si>
  <si>
    <t>The response should apply the EU AI Act’s risk-based framework and identify high-risk status where the AI system materially affects safety, fundamental rights, access to essential services, education, employment, or other Annex III areas.</t>
  </si>
  <si>
    <t>The response should identify prohibited AI practices under Article 5, including manipulative, exploitative, social-scoring, certain biometric, and other unacceptable-risk uses, with attention to harm and fundamental-rights impacts.</t>
  </si>
  <si>
    <t>The response should distinguish GPAI models from application-specific AI systems and explain broad downstream capability, documentation, transparency, copyright, and systemic-risk governance considerations.</t>
  </si>
  <si>
    <t>The response should explain human oversight as a safeguard for high-risk AI systems, requiring competent human supervision, monitoring, intervention, and the ability to prevent or stop harmful outcomes.</t>
  </si>
  <si>
    <t>The response should explain AI literacy as appropriate knowledge, skills, and understanding for providers, deployers, and users to operate, supervise, and evaluate AI systems responsibly and in context.</t>
  </si>
  <si>
    <t>The response should identify biometric identification systems as sensitive and potentially high-risk, while distinguishing biometric identification from mere verification/authentication for access where relevant.</t>
  </si>
  <si>
    <t>The response should align with the cited book section and official EU AI Act source by giving a legally accurate, proportionate, and practically useful compliance interpretation for the scenario.</t>
  </si>
  <si>
    <t>The response should assess whether the AI system materially affects education, assessment, access, progression, or rights; if so, it should identify likely high-risk classification and related safeguards such as risk management, transparency, documentation, fairness, and human oversight.</t>
  </si>
  <si>
    <t>The response should explain data governance requirements, including quality, relevance, representativeness, bias mitigation, documentation, privacy protection, and lawful handling of personal or sensitive data.</t>
  </si>
  <si>
    <t>The response should classify low-impact assistive or administrative AI as generally minimal-risk where it does not materially affect rights, access, assessment, safety, or opportunities, while noting voluntary good practices.</t>
  </si>
  <si>
    <t>The response should identify emotion-recognition in educational settings as generally prohibited, except limited medical or safety purposes, and explain privacy, discrimination, reliability, and surveillance concerns.</t>
  </si>
  <si>
    <t>The response should explain that social scoring is prohibited when it evaluates/classifies persons and causes detrimental or unfavourable treatment that is unjustified, disproportionate, or unrelated to the original context.</t>
  </si>
  <si>
    <t>The response should explain that record-keeping and automatic logging support traceability, accountability, compliance verification, incident investigation, and post-market monitoring.</t>
  </si>
  <si>
    <t>Step 3 AI Regulation Lawyer and Researcher Review  (Five-Part Framework)</t>
  </si>
  <si>
    <t>Step 2 Governance Alignment Evaluation</t>
  </si>
  <si>
    <t>Step 3 AI Regulation Lawyer and Researcher Review (Five-Part Framework)</t>
  </si>
  <si>
    <t xml:space="preserve"> Governance Alignment Evaluation criteria</t>
  </si>
  <si>
    <t>AI Regulation Lawyer and Researcher Review (Five-Part Framework)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</si>
</sst>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Aptos Narrow"/>
    </font>
    <font>
      <b/>
      <sz val="12"/>
      <color rgb="FFFFFFFF"/>
      <name val="Aptos Narrow"/>
    </font>
    <font>
      <b/>
      <sz val="12"/>
      <color rgb="FFFFFFFF"/>
      <name val="Aptos Narrow"/>
    </font>
    <font>
      <u/>
      <sz val="12"/>
      <color theme="10"/>
      <name val="Aptos Narrow"/>
    </font>
    <font>
      <b/>
      <sz val="12"/>
      <color rgb="FF000000"/>
      <name val="Times New Roman"/>
      <family val="1"/>
    </font>
    <font>
      <b/>
      <sz val="12"/>
      <color rgb="FFFFFFFF"/>
      <name val="Times New Roman"/>
      <family val="1"/>
    </font>
    <font>
      <b/>
      <sz val="12"/>
      <name val="Times New Roman"/>
      <family val="1"/>
    </font>
    <font>
      <sz val="14"/>
      <color rgb="FF000000"/>
      <name val="Times New Roman"/>
      <family val="1"/>
    </font>
    <font>
      <sz val="12"/>
      <color rgb="FF000000"/>
      <name val="Times New Roman"/>
      <family val="1"/>
    </font>
    <font>
      <sz val="12"/>
      <color theme="1"/>
      <name val="Times New Roman"/>
      <family val="1"/>
    </font>
    <font>
      <i/>
      <sz val="12"/>
      <color rgb="FF000000"/>
      <name val="Times New Roman"/>
      <family val="1"/>
    </font>
    <font>
      <sz val="12"/>
      <color rgb="FFFF0000"/>
      <name val="Times New Roman"/>
      <family val="1"/>
    </font>
    <font>
      <sz val="12"/>
      <color rgb="FF9C5700"/>
      <name val="Times New Roman"/>
      <family val="1"/>
    </font>
    <font>
      <b/>
      <sz val="14"/>
      <color rgb="FF000000"/>
      <name val="Times New Roman"/>
      <family val="1"/>
    </font>
    <font>
      <sz val="12"/>
      <color rgb="FF000000"/>
      <name val="Aptos Narrow"/>
    </font>
    <font>
      <sz val="12"/>
      <color rgb="FF274E13"/>
      <name val="Aptos Narrow"/>
    </font>
    <font>
      <sz val="12"/>
      <color rgb="FFFF0000"/>
      <name val="Aptos Narrow"/>
    </font>
    <font>
      <sz val="12"/>
      <color rgb="FF7F6000"/>
      <name val="Aptos Narrow"/>
    </font>
    <font>
      <b/>
      <sz val="12"/>
      <color rgb="FFFF0000"/>
      <name val="Aptos Narrow"/>
    </font>
  </fonts>
  <fills count="18">
    <fill>
      <patternFill patternType="none"/>
    </fill>
    <fill>
      <patternFill patternType="gray125"/>
    </fill>
    <fill>
      <patternFill patternType="solid">
        <fgColor rgb="FF1F4E78"/>
      </patternFill>
    </fill>
    <fill>
      <patternFill patternType="solid">
        <fgColor rgb="FFB4C6E7"/>
      </patternFill>
    </fill>
    <fill>
      <patternFill patternType="solid">
        <fgColor rgb="FF1F4E78"/>
      </patternFill>
    </fill>
    <fill>
      <patternFill patternType="solid">
        <fgColor rgb="FFD9EAF7"/>
      </patternFill>
    </fill>
    <fill>
      <patternFill patternType="solid">
        <fgColor rgb="FFC6EFCE"/>
      </patternFill>
    </fill>
    <fill>
      <patternFill patternType="solid">
        <fgColor rgb="FFFCE4D6"/>
      </patternFill>
    </fill>
    <fill>
      <patternFill patternType="solid">
        <fgColor rgb="FFFFC7CE"/>
      </patternFill>
    </fill>
    <fill>
      <patternFill patternType="solid">
        <fgColor indexed="65"/>
        <bgColor rgb="FFFCE4D6"/>
      </patternFill>
    </fill>
    <fill>
      <patternFill patternType="solid">
        <fgColor rgb="FFD9EAF7"/>
        <bgColor rgb="FF000000"/>
      </patternFill>
    </fill>
    <fill>
      <patternFill patternType="solid">
        <fgColor rgb="FF1F4E78"/>
        <bgColor rgb="FF000000"/>
      </patternFill>
    </fill>
    <fill>
      <patternFill patternType="solid">
        <fgColor rgb="FFD9EAD3"/>
        <bgColor rgb="FF000000"/>
      </patternFill>
    </fill>
    <fill>
      <patternFill patternType="solid">
        <fgColor rgb="FFFFF2CC"/>
        <bgColor rgb="FF000000"/>
      </patternFill>
    </fill>
    <fill>
      <patternFill patternType="solid">
        <fgColor rgb="FF1F4E78"/>
        <bgColor rgb="FF1F4E78"/>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6">
    <border>
      <left/>
      <right/>
      <top/>
      <bottom/>
      <diagonal/>
    </border>
    <border>
      <left/>
      <right/>
      <top/>
      <bottom style="thin">
        <color indexed="64"/>
      </bottom>
      <diagonal/>
    </border>
    <border>
      <left/>
      <right style="thin">
        <color indexed="64"/>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diagonal/>
    </border>
  </borders>
  <cellStyleXfs count="2">
    <xf numFmtId="0" fontId="0" fillId="0" borderId="0"/>
    <xf numFmtId="0" fontId="3" fillId="0" borderId="0" applyNumberFormat="0" applyFill="0" applyBorder="0" applyAlignment="0" applyProtection="0"/>
  </cellStyleXfs>
  <cellXfs count="63">
    <xf numFmtId="0" fontId="0" fillId="0" borderId="0" xfId="0"/>
    <xf numFmtId="0" fontId="0" fillId="0" borderId="1" xfId="0" applyBorder="1"/>
    <xf numFmtId="0" fontId="0" fillId="0" borderId="2" xfId="0" applyBorder="1"/>
    <xf numFmtId="0" fontId="1" fillId="2" borderId="0" xfId="0" applyFont="1" applyFill="1" applyAlignment="1">
      <alignment horizontal="center"/>
    </xf>
    <xf numFmtId="164" fontId="0" fillId="0" borderId="0" xfId="0" applyNumberFormat="1"/>
    <xf numFmtId="0" fontId="2" fillId="4" borderId="3" xfId="0" applyFont="1" applyFill="1" applyBorder="1" applyAlignment="1">
      <alignment horizontal="center" vertical="center" wrapText="1"/>
    </xf>
    <xf numFmtId="0" fontId="0" fillId="0" borderId="3" xfId="0" applyBorder="1" applyAlignment="1">
      <alignment vertical="top" wrapText="1"/>
    </xf>
    <xf numFmtId="0" fontId="2" fillId="4" borderId="3" xfId="0" applyFont="1" applyFill="1" applyBorder="1" applyAlignment="1">
      <alignment vertical="top" wrapText="1"/>
    </xf>
    <xf numFmtId="0" fontId="0" fillId="6" borderId="3" xfId="0" applyFill="1" applyBorder="1" applyAlignment="1">
      <alignment vertical="top" wrapText="1"/>
    </xf>
    <xf numFmtId="0" fontId="0" fillId="7" borderId="3" xfId="0" applyFill="1" applyBorder="1" applyAlignment="1">
      <alignment vertical="top" wrapText="1"/>
    </xf>
    <xf numFmtId="0" fontId="0" fillId="8" borderId="3" xfId="0" applyFill="1" applyBorder="1" applyAlignment="1">
      <alignment vertical="top" wrapText="1"/>
    </xf>
    <xf numFmtId="0" fontId="0" fillId="0" borderId="3" xfId="0" applyBorder="1" applyAlignment="1">
      <alignment horizontal="center" vertical="center" wrapText="1"/>
    </xf>
    <xf numFmtId="0" fontId="3" fillId="0" borderId="0" xfId="1"/>
    <xf numFmtId="0" fontId="0" fillId="0" borderId="0" xfId="0" applyAlignment="1">
      <alignment vertical="top"/>
    </xf>
    <xf numFmtId="0" fontId="0" fillId="0" borderId="1" xfId="0" applyBorder="1" applyAlignment="1">
      <alignment vertical="top"/>
    </xf>
    <xf numFmtId="0" fontId="4" fillId="3" borderId="0" xfId="0" applyFont="1" applyFill="1" applyAlignment="1">
      <alignment horizontal="center" vertical="center" wrapText="1"/>
    </xf>
    <xf numFmtId="0" fontId="6" fillId="5"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7" fillId="0" borderId="3" xfId="0" applyFont="1" applyBorder="1" applyAlignment="1">
      <alignment vertical="top" wrapText="1"/>
    </xf>
    <xf numFmtId="0" fontId="8" fillId="0" borderId="3" xfId="0" applyFont="1" applyBorder="1" applyAlignment="1">
      <alignment vertical="top" wrapText="1"/>
    </xf>
    <xf numFmtId="0" fontId="8" fillId="0" borderId="0" xfId="0" applyFont="1" applyAlignment="1">
      <alignment wrapText="1"/>
    </xf>
    <xf numFmtId="0" fontId="9" fillId="0" borderId="3" xfId="0" applyFont="1" applyBorder="1" applyAlignment="1">
      <alignment vertical="top" wrapText="1"/>
    </xf>
    <xf numFmtId="0" fontId="7" fillId="0" borderId="5" xfId="0" applyFont="1" applyBorder="1" applyAlignment="1">
      <alignment vertical="top" wrapText="1"/>
    </xf>
    <xf numFmtId="0" fontId="8" fillId="0" borderId="5"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8" fillId="0" borderId="0" xfId="0" applyFont="1" applyAlignment="1">
      <alignment vertical="top" wrapText="1"/>
    </xf>
    <xf numFmtId="0" fontId="9" fillId="0" borderId="4" xfId="0" applyFont="1" applyBorder="1" applyAlignment="1">
      <alignment vertical="top" wrapText="1"/>
    </xf>
    <xf numFmtId="0" fontId="8" fillId="0" borderId="4" xfId="0" applyFont="1" applyBorder="1" applyAlignment="1">
      <alignment vertical="top" wrapText="1"/>
    </xf>
    <xf numFmtId="0" fontId="7" fillId="0" borderId="0" xfId="0" applyFont="1" applyAlignment="1">
      <alignment wrapText="1"/>
    </xf>
    <xf numFmtId="0" fontId="7" fillId="0" borderId="4" xfId="0" applyFont="1" applyBorder="1" applyAlignment="1">
      <alignment vertical="top" wrapText="1"/>
    </xf>
    <xf numFmtId="0" fontId="2" fillId="0" borderId="3" xfId="0" applyFont="1" applyBorder="1" applyAlignment="1">
      <alignment horizontal="center" vertical="center" wrapText="1"/>
    </xf>
    <xf numFmtId="0" fontId="1" fillId="0" borderId="3" xfId="0" applyFont="1" applyBorder="1" applyAlignment="1">
      <alignment horizontal="center" vertical="center" wrapText="1"/>
    </xf>
    <xf numFmtId="0" fontId="3" fillId="0" borderId="0" xfId="1" applyFill="1"/>
    <xf numFmtId="0" fontId="4" fillId="3" borderId="0" xfId="0" applyFont="1" applyFill="1" applyAlignment="1">
      <alignment horizontal="center" vertical="top" wrapText="1"/>
    </xf>
    <xf numFmtId="0" fontId="6" fillId="5" borderId="3" xfId="0" applyFont="1" applyFill="1" applyBorder="1" applyAlignment="1">
      <alignment horizontal="center" vertical="top" wrapText="1"/>
    </xf>
    <xf numFmtId="0" fontId="5" fillId="4" borderId="3" xfId="0" applyFont="1" applyFill="1" applyBorder="1" applyAlignment="1">
      <alignment horizontal="center" vertical="top" wrapText="1"/>
    </xf>
    <xf numFmtId="0" fontId="7" fillId="0" borderId="0" xfId="0" applyFont="1" applyAlignment="1">
      <alignment vertical="top" wrapText="1"/>
    </xf>
    <xf numFmtId="0" fontId="13" fillId="10" borderId="0" xfId="0" applyFont="1" applyFill="1"/>
    <xf numFmtId="0" fontId="5" fillId="11" borderId="2" xfId="0" applyFont="1" applyFill="1" applyBorder="1" applyAlignment="1">
      <alignment horizontal="center" vertical="top" wrapText="1"/>
    </xf>
    <xf numFmtId="0" fontId="14" fillId="0" borderId="0" xfId="0" applyFont="1"/>
    <xf numFmtId="0" fontId="14" fillId="0" borderId="2" xfId="0" applyFont="1" applyBorder="1"/>
    <xf numFmtId="0" fontId="5" fillId="11" borderId="0" xfId="0" applyFont="1" applyFill="1" applyAlignment="1">
      <alignment horizontal="center" vertical="top" wrapText="1"/>
    </xf>
    <xf numFmtId="0" fontId="8" fillId="0" borderId="1" xfId="0" applyFont="1" applyBorder="1" applyAlignment="1">
      <alignment vertical="top" wrapText="1"/>
    </xf>
    <xf numFmtId="0" fontId="12" fillId="9" borderId="4" xfId="0" applyFont="1" applyFill="1" applyBorder="1" applyAlignment="1">
      <alignment vertical="top" wrapText="1"/>
    </xf>
    <xf numFmtId="0" fontId="1" fillId="14" borderId="0" xfId="0" applyFont="1" applyFill="1"/>
    <xf numFmtId="0" fontId="15" fillId="12" borderId="0" xfId="0" applyFont="1" applyFill="1" applyAlignment="1">
      <alignment horizontal="left" vertical="top" wrapText="1"/>
    </xf>
    <xf numFmtId="0" fontId="14" fillId="0" borderId="0" xfId="0" applyFont="1" applyAlignment="1">
      <alignment horizontal="left" vertical="top" wrapText="1"/>
    </xf>
    <xf numFmtId="0" fontId="14" fillId="15" borderId="0" xfId="0" applyFont="1" applyFill="1" applyAlignment="1">
      <alignment horizontal="left" vertical="top" wrapText="1"/>
    </xf>
    <xf numFmtId="0" fontId="14" fillId="16" borderId="0" xfId="0" applyFont="1" applyFill="1" applyAlignment="1">
      <alignment horizontal="left" vertical="top" wrapText="1"/>
    </xf>
    <xf numFmtId="0" fontId="17" fillId="13" borderId="0" xfId="0" applyFont="1" applyFill="1" applyAlignment="1">
      <alignment horizontal="left" vertical="top" wrapText="1"/>
    </xf>
    <xf numFmtId="0" fontId="16" fillId="0" borderId="3" xfId="0" applyFont="1" applyBorder="1" applyAlignment="1">
      <alignment vertical="top" wrapText="1"/>
    </xf>
    <xf numFmtId="0" fontId="16" fillId="0" borderId="0" xfId="0" applyFont="1" applyAlignment="1">
      <alignment horizontal="left" vertical="top" wrapText="1"/>
    </xf>
    <xf numFmtId="0" fontId="14" fillId="17" borderId="0" xfId="0" applyFont="1" applyFill="1" applyAlignment="1">
      <alignment horizontal="left" vertical="top" wrapText="1"/>
    </xf>
    <xf numFmtId="0" fontId="14" fillId="0" borderId="3" xfId="0" applyFont="1" applyBorder="1" applyAlignment="1">
      <alignment vertical="top" wrapText="1"/>
    </xf>
    <xf numFmtId="0" fontId="15" fillId="12" borderId="1" xfId="0" applyFont="1" applyFill="1" applyBorder="1" applyAlignment="1">
      <alignment horizontal="left" vertical="top" wrapText="1"/>
    </xf>
    <xf numFmtId="0" fontId="14" fillId="0" borderId="1" xfId="0" applyFont="1" applyBorder="1" applyAlignment="1">
      <alignment horizontal="left" vertical="top" wrapText="1"/>
    </xf>
    <xf numFmtId="0" fontId="14" fillId="0" borderId="0" xfId="0" applyFont="1" applyAlignment="1">
      <alignment vertical="top" wrapText="1"/>
    </xf>
    <xf numFmtId="0" fontId="16" fillId="0" borderId="0" xfId="0" applyFont="1" applyAlignment="1">
      <alignment vertical="top" wrapText="1"/>
    </xf>
    <xf numFmtId="0" fontId="5" fillId="4" borderId="0" xfId="0" applyFont="1" applyFill="1" applyAlignment="1">
      <alignment horizontal="center" vertical="center" wrapText="1"/>
    </xf>
    <xf numFmtId="0" fontId="5" fillId="4" borderId="0" xfId="0" applyFont="1" applyFill="1" applyAlignment="1">
      <alignment horizontal="center" vertical="top" wrapText="1"/>
    </xf>
    <xf numFmtId="0" fontId="0" fillId="0" borderId="0" xfId="0" applyBorder="1"/>
    <xf numFmtId="0" fontId="1" fillId="0" borderId="0" xfId="0" applyFont="1" applyFill="1" applyAlignment="1">
      <alignment horizontal="center"/>
    </xf>
  </cellXfs>
  <cellStyles count="2">
    <cellStyle name="Hyperlink" xfId="1" builtinId="8"/>
    <cellStyle name="Normal" xfId="0" builtinId="0"/>
  </cellStyles>
  <dxfs count="18">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3"/>
  <sheetViews>
    <sheetView tabSelected="1" topLeftCell="L1" workbookViewId="0">
      <pane ySplit="2" topLeftCell="A3" activePane="bottomLeft" state="frozen"/>
      <selection pane="bottomLeft" activeCell="J1" sqref="J1"/>
    </sheetView>
  </sheetViews>
  <sheetFormatPr baseColWidth="10" defaultRowHeight="16" x14ac:dyDescent="0.2"/>
  <cols>
    <col min="1" max="1" width="18" customWidth="1"/>
    <col min="2" max="2" width="32" customWidth="1"/>
    <col min="3" max="3" width="34" customWidth="1"/>
    <col min="4" max="4" width="12" customWidth="1"/>
    <col min="5" max="5" width="42" customWidth="1"/>
    <col min="6" max="6" width="40.1640625" customWidth="1"/>
    <col min="7" max="7" width="36" customWidth="1"/>
    <col min="8" max="8" width="55" style="2" customWidth="1"/>
    <col min="9" max="9" width="8" customWidth="1"/>
    <col min="10" max="10" width="55" customWidth="1"/>
    <col min="11" max="11" width="14" customWidth="1"/>
    <col min="12" max="12" width="44" customWidth="1"/>
    <col min="13" max="13" width="18" customWidth="1"/>
    <col min="14" max="14" width="67" customWidth="1"/>
    <col min="15" max="15" width="20" customWidth="1"/>
    <col min="16" max="16" width="48" customWidth="1"/>
    <col min="17" max="17" width="22" customWidth="1"/>
    <col min="18" max="18" width="48" customWidth="1"/>
    <col min="19" max="19" width="20" customWidth="1"/>
    <col min="20" max="20" width="48" customWidth="1"/>
    <col min="21" max="21" width="20" customWidth="1"/>
    <col min="22" max="22" width="55" customWidth="1"/>
  </cols>
  <sheetData>
    <row r="1" spans="1:22" ht="28" customHeight="1" x14ac:dyDescent="0.2">
      <c r="A1" s="15" t="s">
        <v>0</v>
      </c>
      <c r="B1" s="15"/>
      <c r="C1" s="15"/>
      <c r="D1" s="15"/>
      <c r="E1" s="15"/>
      <c r="F1" s="15"/>
      <c r="G1" s="15"/>
      <c r="H1" s="38"/>
      <c r="I1" s="15" t="s">
        <v>1</v>
      </c>
      <c r="J1" s="15" t="s">
        <v>794</v>
      </c>
      <c r="K1" s="15"/>
      <c r="L1" s="38"/>
      <c r="M1" s="59" t="s">
        <v>793</v>
      </c>
      <c r="N1" s="59"/>
      <c r="O1" s="59"/>
      <c r="P1" s="59"/>
      <c r="Q1" s="59"/>
      <c r="R1" s="59"/>
      <c r="S1" s="59"/>
      <c r="T1" s="59"/>
      <c r="U1" s="59"/>
      <c r="V1" s="59"/>
    </row>
    <row r="2" spans="1:22" ht="28" customHeight="1" x14ac:dyDescent="0.2">
      <c r="A2" s="16" t="s">
        <v>4</v>
      </c>
      <c r="B2" s="16" t="s">
        <v>5</v>
      </c>
      <c r="C2" s="16" t="s">
        <v>6</v>
      </c>
      <c r="D2" s="16" t="s">
        <v>7</v>
      </c>
      <c r="E2" s="16" t="s">
        <v>8</v>
      </c>
      <c r="F2" s="16" t="s">
        <v>9</v>
      </c>
      <c r="G2" s="16" t="s">
        <v>10</v>
      </c>
      <c r="H2" s="39" t="s">
        <v>581</v>
      </c>
      <c r="I2" s="16"/>
      <c r="J2" s="16" t="s">
        <v>11</v>
      </c>
      <c r="K2" s="16" t="s">
        <v>12</v>
      </c>
      <c r="L2" s="42" t="s">
        <v>13</v>
      </c>
      <c r="M2" s="17" t="s">
        <v>14</v>
      </c>
      <c r="N2" s="45" t="s">
        <v>15</v>
      </c>
      <c r="O2" s="17" t="s">
        <v>16</v>
      </c>
      <c r="P2" s="17" t="s">
        <v>17</v>
      </c>
      <c r="Q2" s="17" t="s">
        <v>18</v>
      </c>
      <c r="R2" s="17" t="s">
        <v>19</v>
      </c>
      <c r="S2" s="17" t="s">
        <v>20</v>
      </c>
      <c r="T2" s="17" t="s">
        <v>21</v>
      </c>
      <c r="U2" s="17" t="s">
        <v>22</v>
      </c>
      <c r="V2" s="17" t="s">
        <v>23</v>
      </c>
    </row>
    <row r="3" spans="1:22" ht="64" customHeight="1" x14ac:dyDescent="0.2">
      <c r="A3" s="18" t="s">
        <v>24</v>
      </c>
      <c r="B3" s="18" t="s">
        <v>25</v>
      </c>
      <c r="C3" s="18" t="s">
        <v>26</v>
      </c>
      <c r="D3" s="19" t="s">
        <v>27</v>
      </c>
      <c r="E3" s="19" t="s">
        <v>28</v>
      </c>
      <c r="F3" s="19" t="s">
        <v>29</v>
      </c>
      <c r="G3" s="19" t="s">
        <v>30</v>
      </c>
      <c r="H3" s="26" t="s">
        <v>582</v>
      </c>
      <c r="I3" s="19"/>
      <c r="J3" s="20" t="s">
        <v>576</v>
      </c>
      <c r="K3" s="19" t="s">
        <v>31</v>
      </c>
      <c r="L3" s="26" t="s">
        <v>682</v>
      </c>
      <c r="M3" s="21" t="s">
        <v>32</v>
      </c>
      <c r="N3" s="40" t="s">
        <v>702</v>
      </c>
      <c r="O3" s="21" t="s">
        <v>32</v>
      </c>
      <c r="P3" s="40" t="s">
        <v>704</v>
      </c>
      <c r="Q3" s="21" t="s">
        <v>32</v>
      </c>
      <c r="R3" s="40" t="s">
        <v>728</v>
      </c>
      <c r="S3" s="21" t="s">
        <v>33</v>
      </c>
      <c r="T3" s="40" t="s">
        <v>726</v>
      </c>
      <c r="U3" s="21" t="s">
        <v>32</v>
      </c>
      <c r="V3" s="40" t="s">
        <v>706</v>
      </c>
    </row>
    <row r="4" spans="1:22" ht="66" customHeight="1" x14ac:dyDescent="0.2">
      <c r="A4" s="21"/>
      <c r="B4" s="21"/>
      <c r="C4" s="21"/>
      <c r="D4" s="19" t="s">
        <v>34</v>
      </c>
      <c r="E4" s="19" t="s">
        <v>35</v>
      </c>
      <c r="F4" s="19" t="s">
        <v>36</v>
      </c>
      <c r="G4" s="19" t="s">
        <v>37</v>
      </c>
      <c r="H4" s="26" t="s">
        <v>583</v>
      </c>
      <c r="I4" s="19"/>
      <c r="J4" s="20" t="s">
        <v>478</v>
      </c>
      <c r="K4" s="19" t="s">
        <v>31</v>
      </c>
      <c r="L4" s="26" t="s">
        <v>683</v>
      </c>
      <c r="M4" s="21" t="s">
        <v>32</v>
      </c>
      <c r="N4" s="40" t="s">
        <v>702</v>
      </c>
      <c r="O4" s="21" t="s">
        <v>32</v>
      </c>
      <c r="P4" s="40" t="s">
        <v>704</v>
      </c>
      <c r="Q4" s="21" t="s">
        <v>32</v>
      </c>
      <c r="R4" s="40" t="s">
        <v>728</v>
      </c>
      <c r="S4" s="21" t="s">
        <v>33</v>
      </c>
      <c r="T4" s="40" t="s">
        <v>726</v>
      </c>
      <c r="U4" s="21" t="s">
        <v>32</v>
      </c>
      <c r="V4" s="40" t="s">
        <v>707</v>
      </c>
    </row>
    <row r="5" spans="1:22" ht="66" customHeight="1" x14ac:dyDescent="0.2">
      <c r="A5" s="21"/>
      <c r="B5" s="21"/>
      <c r="C5" s="21"/>
      <c r="D5" s="19" t="s">
        <v>38</v>
      </c>
      <c r="E5" s="19" t="s">
        <v>39</v>
      </c>
      <c r="F5" s="19" t="s">
        <v>40</v>
      </c>
      <c r="G5" s="19" t="s">
        <v>41</v>
      </c>
      <c r="H5" s="26" t="s">
        <v>584</v>
      </c>
      <c r="I5" s="19"/>
      <c r="J5" s="20" t="s">
        <v>479</v>
      </c>
      <c r="K5" s="19" t="s">
        <v>31</v>
      </c>
      <c r="L5" s="26" t="s">
        <v>684</v>
      </c>
      <c r="M5" s="21" t="s">
        <v>32</v>
      </c>
      <c r="N5" s="40" t="s">
        <v>702</v>
      </c>
      <c r="O5" s="21" t="s">
        <v>32</v>
      </c>
      <c r="P5" s="40" t="s">
        <v>704</v>
      </c>
      <c r="Q5" s="21" t="s">
        <v>32</v>
      </c>
      <c r="R5" s="40" t="s">
        <v>728</v>
      </c>
      <c r="S5" s="21" t="s">
        <v>33</v>
      </c>
      <c r="T5" s="40" t="s">
        <v>726</v>
      </c>
      <c r="U5" s="21" t="s">
        <v>32</v>
      </c>
      <c r="V5" s="40" t="s">
        <v>708</v>
      </c>
    </row>
    <row r="6" spans="1:22" ht="66" customHeight="1" x14ac:dyDescent="0.2">
      <c r="A6" s="21"/>
      <c r="B6" s="21"/>
      <c r="C6" s="21"/>
      <c r="D6" s="19" t="s">
        <v>45</v>
      </c>
      <c r="E6" s="19" t="s">
        <v>46</v>
      </c>
      <c r="F6" s="19" t="s">
        <v>47</v>
      </c>
      <c r="G6" s="19" t="s">
        <v>48</v>
      </c>
      <c r="H6" s="26" t="s">
        <v>585</v>
      </c>
      <c r="I6" s="19"/>
      <c r="J6" s="20" t="s">
        <v>480</v>
      </c>
      <c r="K6" s="19" t="s">
        <v>31</v>
      </c>
      <c r="L6" s="26" t="s">
        <v>682</v>
      </c>
      <c r="M6" s="21" t="s">
        <v>32</v>
      </c>
      <c r="N6" s="40" t="s">
        <v>702</v>
      </c>
      <c r="O6" s="21" t="s">
        <v>32</v>
      </c>
      <c r="P6" s="40" t="s">
        <v>704</v>
      </c>
      <c r="Q6" s="21" t="s">
        <v>32</v>
      </c>
      <c r="R6" s="40" t="s">
        <v>728</v>
      </c>
      <c r="S6" s="21" t="s">
        <v>33</v>
      </c>
      <c r="T6" s="40" t="s">
        <v>726</v>
      </c>
      <c r="U6" s="21" t="s">
        <v>32</v>
      </c>
      <c r="V6" s="40" t="s">
        <v>706</v>
      </c>
    </row>
    <row r="7" spans="1:22" ht="66" customHeight="1" x14ac:dyDescent="0.2">
      <c r="A7" s="21"/>
      <c r="B7" s="21"/>
      <c r="C7" s="21"/>
      <c r="D7" s="19" t="s">
        <v>50</v>
      </c>
      <c r="E7" s="19" t="s">
        <v>51</v>
      </c>
      <c r="F7" s="19" t="s">
        <v>52</v>
      </c>
      <c r="G7" s="19" t="s">
        <v>53</v>
      </c>
      <c r="H7" s="26" t="s">
        <v>586</v>
      </c>
      <c r="I7" s="19"/>
      <c r="J7" s="20" t="s">
        <v>481</v>
      </c>
      <c r="K7" s="19" t="s">
        <v>31</v>
      </c>
      <c r="L7" s="26" t="s">
        <v>685</v>
      </c>
      <c r="M7" s="21" t="s">
        <v>32</v>
      </c>
      <c r="N7" s="40" t="s">
        <v>702</v>
      </c>
      <c r="O7" s="21" t="s">
        <v>32</v>
      </c>
      <c r="P7" s="40" t="s">
        <v>704</v>
      </c>
      <c r="Q7" s="21" t="s">
        <v>32</v>
      </c>
      <c r="R7" s="40" t="s">
        <v>728</v>
      </c>
      <c r="S7" s="21" t="s">
        <v>33</v>
      </c>
      <c r="T7" s="40" t="s">
        <v>726</v>
      </c>
      <c r="U7" s="21" t="s">
        <v>32</v>
      </c>
      <c r="V7" s="40" t="s">
        <v>709</v>
      </c>
    </row>
    <row r="8" spans="1:22" ht="66" customHeight="1" x14ac:dyDescent="0.2">
      <c r="A8" s="21"/>
      <c r="B8" s="21"/>
      <c r="C8" s="21"/>
      <c r="D8" s="19" t="s">
        <v>54</v>
      </c>
      <c r="E8" s="19" t="s">
        <v>55</v>
      </c>
      <c r="F8" s="19" t="s">
        <v>56</v>
      </c>
      <c r="G8" s="19" t="s">
        <v>57</v>
      </c>
      <c r="H8" s="26" t="s">
        <v>587</v>
      </c>
      <c r="I8" s="19"/>
      <c r="J8" s="20" t="s">
        <v>482</v>
      </c>
      <c r="K8" s="19" t="s">
        <v>31</v>
      </c>
      <c r="L8" s="26" t="s">
        <v>683</v>
      </c>
      <c r="M8" s="21" t="s">
        <v>32</v>
      </c>
      <c r="N8" s="40" t="s">
        <v>702</v>
      </c>
      <c r="O8" s="21" t="s">
        <v>32</v>
      </c>
      <c r="P8" s="40" t="s">
        <v>704</v>
      </c>
      <c r="Q8" s="21" t="s">
        <v>32</v>
      </c>
      <c r="R8" s="40" t="s">
        <v>728</v>
      </c>
      <c r="S8" s="21" t="s">
        <v>33</v>
      </c>
      <c r="T8" s="40" t="s">
        <v>726</v>
      </c>
      <c r="U8" s="21" t="s">
        <v>32</v>
      </c>
      <c r="V8" s="40" t="s">
        <v>707</v>
      </c>
    </row>
    <row r="9" spans="1:22" ht="66" customHeight="1" x14ac:dyDescent="0.2">
      <c r="A9" s="21"/>
      <c r="B9" s="21"/>
      <c r="C9" s="21"/>
      <c r="D9" s="19" t="s">
        <v>58</v>
      </c>
      <c r="E9" s="19" t="s">
        <v>59</v>
      </c>
      <c r="F9" s="19" t="s">
        <v>60</v>
      </c>
      <c r="G9" s="19" t="s">
        <v>61</v>
      </c>
      <c r="H9" s="26" t="s">
        <v>588</v>
      </c>
      <c r="I9" s="19"/>
      <c r="J9" s="20" t="s">
        <v>483</v>
      </c>
      <c r="K9" s="19" t="s">
        <v>31</v>
      </c>
      <c r="L9" s="26" t="s">
        <v>682</v>
      </c>
      <c r="M9" s="21" t="s">
        <v>32</v>
      </c>
      <c r="N9" s="40" t="s">
        <v>702</v>
      </c>
      <c r="O9" s="21" t="s">
        <v>32</v>
      </c>
      <c r="P9" s="40" t="s">
        <v>704</v>
      </c>
      <c r="Q9" s="21" t="s">
        <v>32</v>
      </c>
      <c r="R9" s="40" t="s">
        <v>728</v>
      </c>
      <c r="S9" s="21" t="s">
        <v>33</v>
      </c>
      <c r="T9" s="40" t="s">
        <v>726</v>
      </c>
      <c r="U9" s="21" t="s">
        <v>32</v>
      </c>
      <c r="V9" s="40" t="s">
        <v>706</v>
      </c>
    </row>
    <row r="10" spans="1:22" ht="66" customHeight="1" x14ac:dyDescent="0.2">
      <c r="A10" s="21"/>
      <c r="B10" s="21"/>
      <c r="C10" s="21"/>
      <c r="D10" s="19" t="s">
        <v>62</v>
      </c>
      <c r="E10" s="19" t="s">
        <v>63</v>
      </c>
      <c r="F10" s="19" t="s">
        <v>64</v>
      </c>
      <c r="G10" s="19" t="s">
        <v>65</v>
      </c>
      <c r="H10" s="26" t="s">
        <v>589</v>
      </c>
      <c r="I10" s="19"/>
      <c r="J10" s="20" t="s">
        <v>484</v>
      </c>
      <c r="K10" s="19" t="s">
        <v>42</v>
      </c>
      <c r="L10" s="26" t="s">
        <v>686</v>
      </c>
      <c r="M10" s="21" t="s">
        <v>43</v>
      </c>
      <c r="N10" s="40" t="s">
        <v>703</v>
      </c>
      <c r="O10" s="21" t="s">
        <v>32</v>
      </c>
      <c r="P10" s="40" t="s">
        <v>704</v>
      </c>
      <c r="Q10" s="21" t="s">
        <v>43</v>
      </c>
      <c r="R10" s="40" t="s">
        <v>729</v>
      </c>
      <c r="S10" s="21" t="s">
        <v>44</v>
      </c>
      <c r="T10" s="40" t="s">
        <v>727</v>
      </c>
      <c r="U10" s="21" t="s">
        <v>43</v>
      </c>
      <c r="V10" s="40" t="s">
        <v>710</v>
      </c>
    </row>
    <row r="11" spans="1:22" ht="42" customHeight="1" x14ac:dyDescent="0.2">
      <c r="A11" s="21"/>
      <c r="B11" s="21"/>
      <c r="C11" s="21"/>
      <c r="D11" s="19" t="s">
        <v>66</v>
      </c>
      <c r="E11" s="19" t="s">
        <v>67</v>
      </c>
      <c r="F11" s="19" t="s">
        <v>68</v>
      </c>
      <c r="G11" s="19" t="s">
        <v>69</v>
      </c>
      <c r="H11" s="26" t="s">
        <v>590</v>
      </c>
      <c r="I11" s="19"/>
      <c r="J11" s="20" t="s">
        <v>485</v>
      </c>
      <c r="K11" s="19" t="s">
        <v>31</v>
      </c>
      <c r="L11" s="26" t="s">
        <v>683</v>
      </c>
      <c r="M11" s="21" t="s">
        <v>32</v>
      </c>
      <c r="N11" s="40" t="s">
        <v>702</v>
      </c>
      <c r="O11" s="21" t="s">
        <v>32</v>
      </c>
      <c r="P11" s="40" t="s">
        <v>704</v>
      </c>
      <c r="Q11" s="21" t="s">
        <v>32</v>
      </c>
      <c r="R11" s="40" t="s">
        <v>728</v>
      </c>
      <c r="S11" s="21" t="s">
        <v>33</v>
      </c>
      <c r="T11" s="40" t="s">
        <v>726</v>
      </c>
      <c r="U11" s="21" t="s">
        <v>32</v>
      </c>
      <c r="V11" s="40" t="s">
        <v>707</v>
      </c>
    </row>
    <row r="12" spans="1:22" ht="42" customHeight="1" x14ac:dyDescent="0.2">
      <c r="A12" s="21"/>
      <c r="B12" s="21"/>
      <c r="C12" s="21"/>
      <c r="D12" s="19" t="s">
        <v>70</v>
      </c>
      <c r="E12" s="19" t="s">
        <v>71</v>
      </c>
      <c r="F12" s="19" t="s">
        <v>72</v>
      </c>
      <c r="G12" s="19" t="s">
        <v>73</v>
      </c>
      <c r="H12" s="26" t="s">
        <v>591</v>
      </c>
      <c r="I12" s="19"/>
      <c r="J12" s="20" t="s">
        <v>486</v>
      </c>
      <c r="K12" s="19" t="s">
        <v>31</v>
      </c>
      <c r="L12" s="26" t="s">
        <v>682</v>
      </c>
      <c r="M12" s="21" t="s">
        <v>32</v>
      </c>
      <c r="N12" s="40" t="s">
        <v>702</v>
      </c>
      <c r="O12" s="21" t="s">
        <v>32</v>
      </c>
      <c r="P12" s="40" t="s">
        <v>704</v>
      </c>
      <c r="Q12" s="21" t="s">
        <v>32</v>
      </c>
      <c r="R12" s="40" t="s">
        <v>728</v>
      </c>
      <c r="S12" s="21" t="s">
        <v>33</v>
      </c>
      <c r="T12" s="40" t="s">
        <v>726</v>
      </c>
      <c r="U12" s="21" t="s">
        <v>32</v>
      </c>
      <c r="V12" s="40" t="s">
        <v>706</v>
      </c>
    </row>
    <row r="13" spans="1:22" ht="42" customHeight="1" x14ac:dyDescent="0.2">
      <c r="A13" s="18" t="s">
        <v>74</v>
      </c>
      <c r="B13" s="18" t="s">
        <v>75</v>
      </c>
      <c r="C13" s="18" t="s">
        <v>76</v>
      </c>
      <c r="D13" s="19" t="s">
        <v>77</v>
      </c>
      <c r="E13" s="19" t="s">
        <v>78</v>
      </c>
      <c r="F13" s="19" t="s">
        <v>79</v>
      </c>
      <c r="G13" s="19" t="s">
        <v>80</v>
      </c>
      <c r="H13" s="37" t="s">
        <v>592</v>
      </c>
      <c r="I13" s="21"/>
      <c r="J13" s="20" t="s">
        <v>487</v>
      </c>
      <c r="K13" s="21" t="s">
        <v>31</v>
      </c>
      <c r="L13" s="26" t="s">
        <v>685</v>
      </c>
      <c r="M13" s="21" t="s">
        <v>32</v>
      </c>
      <c r="N13" s="40" t="s">
        <v>702</v>
      </c>
      <c r="O13" s="21" t="s">
        <v>32</v>
      </c>
      <c r="P13" s="40" t="s">
        <v>704</v>
      </c>
      <c r="Q13" s="21" t="s">
        <v>32</v>
      </c>
      <c r="R13" s="40" t="s">
        <v>728</v>
      </c>
      <c r="S13" s="21" t="s">
        <v>33</v>
      </c>
      <c r="T13" s="40" t="s">
        <v>726</v>
      </c>
      <c r="U13" s="21" t="s">
        <v>32</v>
      </c>
      <c r="V13" s="40" t="s">
        <v>709</v>
      </c>
    </row>
    <row r="14" spans="1:22" ht="42" customHeight="1" x14ac:dyDescent="0.2">
      <c r="A14" s="21"/>
      <c r="B14" s="21"/>
      <c r="C14" s="21"/>
      <c r="D14" s="19" t="s">
        <v>81</v>
      </c>
      <c r="E14" s="19" t="s">
        <v>82</v>
      </c>
      <c r="F14" s="19" t="s">
        <v>83</v>
      </c>
      <c r="G14" s="19" t="s">
        <v>84</v>
      </c>
      <c r="H14" s="37" t="s">
        <v>593</v>
      </c>
      <c r="I14" s="21"/>
      <c r="J14" s="20" t="s">
        <v>488</v>
      </c>
      <c r="K14" s="21" t="s">
        <v>31</v>
      </c>
      <c r="L14" s="26" t="s">
        <v>683</v>
      </c>
      <c r="M14" s="21" t="s">
        <v>32</v>
      </c>
      <c r="N14" s="40" t="s">
        <v>702</v>
      </c>
      <c r="O14" s="21" t="s">
        <v>32</v>
      </c>
      <c r="P14" s="40" t="s">
        <v>704</v>
      </c>
      <c r="Q14" s="21" t="s">
        <v>32</v>
      </c>
      <c r="R14" s="40" t="s">
        <v>728</v>
      </c>
      <c r="S14" s="21" t="s">
        <v>33</v>
      </c>
      <c r="T14" s="40" t="s">
        <v>726</v>
      </c>
      <c r="U14" s="21" t="s">
        <v>32</v>
      </c>
      <c r="V14" s="40" t="s">
        <v>707</v>
      </c>
    </row>
    <row r="15" spans="1:22" ht="42" customHeight="1" x14ac:dyDescent="0.2">
      <c r="A15" s="21"/>
      <c r="B15" s="21"/>
      <c r="C15" s="21"/>
      <c r="D15" s="19" t="s">
        <v>86</v>
      </c>
      <c r="E15" s="19" t="s">
        <v>87</v>
      </c>
      <c r="F15" s="19" t="s">
        <v>88</v>
      </c>
      <c r="G15" s="19" t="s">
        <v>89</v>
      </c>
      <c r="H15" s="37" t="s">
        <v>594</v>
      </c>
      <c r="I15" s="21"/>
      <c r="J15" s="20" t="s">
        <v>489</v>
      </c>
      <c r="K15" s="21" t="s">
        <v>31</v>
      </c>
      <c r="L15" s="26" t="s">
        <v>683</v>
      </c>
      <c r="M15" s="21" t="s">
        <v>32</v>
      </c>
      <c r="N15" s="40" t="s">
        <v>702</v>
      </c>
      <c r="O15" s="21" t="s">
        <v>32</v>
      </c>
      <c r="P15" s="40" t="s">
        <v>704</v>
      </c>
      <c r="Q15" s="21" t="s">
        <v>32</v>
      </c>
      <c r="R15" s="40" t="s">
        <v>728</v>
      </c>
      <c r="S15" s="21" t="s">
        <v>33</v>
      </c>
      <c r="T15" s="40" t="s">
        <v>726</v>
      </c>
      <c r="U15" s="21" t="s">
        <v>32</v>
      </c>
      <c r="V15" s="40" t="s">
        <v>707</v>
      </c>
    </row>
    <row r="16" spans="1:22" ht="42" customHeight="1" x14ac:dyDescent="0.2">
      <c r="A16" s="21"/>
      <c r="B16" s="21"/>
      <c r="C16" s="21"/>
      <c r="D16" s="19" t="s">
        <v>90</v>
      </c>
      <c r="E16" s="19" t="s">
        <v>91</v>
      </c>
      <c r="F16" s="19" t="s">
        <v>92</v>
      </c>
      <c r="G16" s="19" t="s">
        <v>93</v>
      </c>
      <c r="H16" s="37" t="s">
        <v>595</v>
      </c>
      <c r="I16" s="21"/>
      <c r="J16" s="20" t="s">
        <v>490</v>
      </c>
      <c r="K16" s="21" t="s">
        <v>31</v>
      </c>
      <c r="L16" s="26" t="s">
        <v>682</v>
      </c>
      <c r="M16" s="21" t="s">
        <v>32</v>
      </c>
      <c r="N16" s="40" t="s">
        <v>702</v>
      </c>
      <c r="O16" s="21" t="s">
        <v>32</v>
      </c>
      <c r="P16" s="40" t="s">
        <v>704</v>
      </c>
      <c r="Q16" s="21" t="s">
        <v>32</v>
      </c>
      <c r="R16" s="40" t="s">
        <v>728</v>
      </c>
      <c r="S16" s="21" t="s">
        <v>33</v>
      </c>
      <c r="T16" s="40" t="s">
        <v>726</v>
      </c>
      <c r="U16" s="21" t="s">
        <v>32</v>
      </c>
      <c r="V16" s="40" t="s">
        <v>706</v>
      </c>
    </row>
    <row r="17" spans="1:22" ht="42" customHeight="1" x14ac:dyDescent="0.2">
      <c r="A17" s="21"/>
      <c r="B17" s="21"/>
      <c r="C17" s="21"/>
      <c r="D17" s="19" t="s">
        <v>94</v>
      </c>
      <c r="E17" s="19" t="s">
        <v>95</v>
      </c>
      <c r="F17" s="19" t="s">
        <v>96</v>
      </c>
      <c r="G17" s="19" t="s">
        <v>97</v>
      </c>
      <c r="H17" s="37" t="s">
        <v>596</v>
      </c>
      <c r="I17" s="21"/>
      <c r="J17" s="20" t="s">
        <v>491</v>
      </c>
      <c r="K17" s="21" t="s">
        <v>31</v>
      </c>
      <c r="L17" s="26" t="s">
        <v>682</v>
      </c>
      <c r="M17" s="21" t="s">
        <v>32</v>
      </c>
      <c r="N17" s="40" t="s">
        <v>702</v>
      </c>
      <c r="O17" s="21" t="s">
        <v>32</v>
      </c>
      <c r="P17" s="40" t="s">
        <v>704</v>
      </c>
      <c r="Q17" s="21" t="s">
        <v>32</v>
      </c>
      <c r="R17" s="40" t="s">
        <v>728</v>
      </c>
      <c r="S17" s="21" t="s">
        <v>33</v>
      </c>
      <c r="T17" s="40" t="s">
        <v>726</v>
      </c>
      <c r="U17" s="21" t="s">
        <v>32</v>
      </c>
      <c r="V17" s="40" t="s">
        <v>706</v>
      </c>
    </row>
    <row r="18" spans="1:22" ht="42" customHeight="1" x14ac:dyDescent="0.2">
      <c r="A18" s="21"/>
      <c r="B18" s="21"/>
      <c r="C18" s="21"/>
      <c r="D18" s="19" t="s">
        <v>98</v>
      </c>
      <c r="E18" s="19" t="s">
        <v>99</v>
      </c>
      <c r="F18" s="19" t="s">
        <v>100</v>
      </c>
      <c r="G18" s="19" t="s">
        <v>101</v>
      </c>
      <c r="H18" s="37" t="s">
        <v>597</v>
      </c>
      <c r="I18" s="21"/>
      <c r="J18" s="20" t="s">
        <v>492</v>
      </c>
      <c r="K18" s="21" t="s">
        <v>31</v>
      </c>
      <c r="L18" s="26" t="s">
        <v>685</v>
      </c>
      <c r="M18" s="21" t="s">
        <v>32</v>
      </c>
      <c r="N18" s="40" t="s">
        <v>702</v>
      </c>
      <c r="O18" s="21" t="s">
        <v>32</v>
      </c>
      <c r="P18" s="40" t="s">
        <v>704</v>
      </c>
      <c r="Q18" s="21" t="s">
        <v>32</v>
      </c>
      <c r="R18" s="40" t="s">
        <v>728</v>
      </c>
      <c r="S18" s="21" t="s">
        <v>33</v>
      </c>
      <c r="T18" s="40" t="s">
        <v>726</v>
      </c>
      <c r="U18" s="21" t="s">
        <v>32</v>
      </c>
      <c r="V18" s="40" t="s">
        <v>709</v>
      </c>
    </row>
    <row r="19" spans="1:22" ht="42" customHeight="1" x14ac:dyDescent="0.2">
      <c r="A19" s="21"/>
      <c r="B19" s="21"/>
      <c r="C19" s="21"/>
      <c r="D19" s="19" t="s">
        <v>102</v>
      </c>
      <c r="E19" s="19" t="s">
        <v>103</v>
      </c>
      <c r="F19" s="19" t="s">
        <v>104</v>
      </c>
      <c r="G19" s="19" t="s">
        <v>105</v>
      </c>
      <c r="H19" s="37" t="s">
        <v>598</v>
      </c>
      <c r="I19" s="21"/>
      <c r="J19" s="20" t="s">
        <v>493</v>
      </c>
      <c r="K19" s="21" t="s">
        <v>31</v>
      </c>
      <c r="L19" s="26" t="s">
        <v>685</v>
      </c>
      <c r="M19" s="21" t="s">
        <v>32</v>
      </c>
      <c r="N19" s="40" t="s">
        <v>702</v>
      </c>
      <c r="O19" s="21" t="s">
        <v>32</v>
      </c>
      <c r="P19" s="40" t="s">
        <v>704</v>
      </c>
      <c r="Q19" s="21" t="s">
        <v>32</v>
      </c>
      <c r="R19" s="40" t="s">
        <v>728</v>
      </c>
      <c r="S19" s="21" t="s">
        <v>33</v>
      </c>
      <c r="T19" s="40" t="s">
        <v>726</v>
      </c>
      <c r="U19" s="21" t="s">
        <v>32</v>
      </c>
      <c r="V19" s="40" t="s">
        <v>709</v>
      </c>
    </row>
    <row r="20" spans="1:22" ht="42" customHeight="1" x14ac:dyDescent="0.2">
      <c r="A20" s="21"/>
      <c r="B20" s="21"/>
      <c r="C20" s="21"/>
      <c r="D20" s="19" t="s">
        <v>106</v>
      </c>
      <c r="E20" s="19" t="s">
        <v>107</v>
      </c>
      <c r="F20" s="19" t="s">
        <v>108</v>
      </c>
      <c r="G20" s="19" t="s">
        <v>109</v>
      </c>
      <c r="H20" s="37" t="s">
        <v>599</v>
      </c>
      <c r="I20" s="21"/>
      <c r="J20" s="20" t="s">
        <v>494</v>
      </c>
      <c r="K20" s="21" t="s">
        <v>31</v>
      </c>
      <c r="L20" s="26" t="s">
        <v>683</v>
      </c>
      <c r="M20" s="21" t="s">
        <v>32</v>
      </c>
      <c r="N20" s="40" t="s">
        <v>702</v>
      </c>
      <c r="O20" s="21" t="s">
        <v>32</v>
      </c>
      <c r="P20" s="40" t="s">
        <v>704</v>
      </c>
      <c r="Q20" s="21" t="s">
        <v>32</v>
      </c>
      <c r="R20" s="40" t="s">
        <v>728</v>
      </c>
      <c r="S20" s="21" t="s">
        <v>33</v>
      </c>
      <c r="T20" s="40" t="s">
        <v>726</v>
      </c>
      <c r="U20" s="21" t="s">
        <v>32</v>
      </c>
      <c r="V20" s="40" t="s">
        <v>707</v>
      </c>
    </row>
    <row r="21" spans="1:22" ht="42" customHeight="1" x14ac:dyDescent="0.2">
      <c r="A21" s="21"/>
      <c r="B21" s="21"/>
      <c r="C21" s="21"/>
      <c r="D21" s="19" t="s">
        <v>110</v>
      </c>
      <c r="E21" s="19" t="s">
        <v>111</v>
      </c>
      <c r="F21" s="19" t="s">
        <v>112</v>
      </c>
      <c r="G21" s="19" t="s">
        <v>113</v>
      </c>
      <c r="H21" s="26" t="s">
        <v>600</v>
      </c>
      <c r="I21" s="21"/>
      <c r="J21" s="20" t="s">
        <v>495</v>
      </c>
      <c r="K21" s="21" t="s">
        <v>31</v>
      </c>
      <c r="L21" s="26" t="s">
        <v>685</v>
      </c>
      <c r="M21" s="21" t="s">
        <v>32</v>
      </c>
      <c r="N21" s="40" t="s">
        <v>702</v>
      </c>
      <c r="O21" s="21" t="s">
        <v>32</v>
      </c>
      <c r="P21" s="40" t="s">
        <v>704</v>
      </c>
      <c r="Q21" s="21" t="s">
        <v>32</v>
      </c>
      <c r="R21" s="40" t="s">
        <v>728</v>
      </c>
      <c r="S21" s="21" t="s">
        <v>33</v>
      </c>
      <c r="T21" s="40" t="s">
        <v>726</v>
      </c>
      <c r="U21" s="21" t="s">
        <v>32</v>
      </c>
      <c r="V21" s="40" t="s">
        <v>709</v>
      </c>
    </row>
    <row r="22" spans="1:22" ht="42" customHeight="1" x14ac:dyDescent="0.2">
      <c r="A22" s="21"/>
      <c r="B22" s="21"/>
      <c r="C22" s="21"/>
      <c r="D22" s="19" t="s">
        <v>114</v>
      </c>
      <c r="E22" s="19" t="s">
        <v>115</v>
      </c>
      <c r="F22" s="19" t="s">
        <v>116</v>
      </c>
      <c r="G22" s="19" t="s">
        <v>117</v>
      </c>
      <c r="H22" s="37" t="s">
        <v>601</v>
      </c>
      <c r="I22" s="21"/>
      <c r="J22" s="20" t="s">
        <v>496</v>
      </c>
      <c r="K22" s="21" t="s">
        <v>31</v>
      </c>
      <c r="L22" s="26" t="s">
        <v>683</v>
      </c>
      <c r="M22" s="21" t="s">
        <v>32</v>
      </c>
      <c r="N22" s="40" t="s">
        <v>702</v>
      </c>
      <c r="O22" s="21" t="s">
        <v>32</v>
      </c>
      <c r="P22" s="40" t="s">
        <v>704</v>
      </c>
      <c r="Q22" s="21" t="s">
        <v>32</v>
      </c>
      <c r="R22" s="40" t="s">
        <v>728</v>
      </c>
      <c r="S22" s="21" t="s">
        <v>33</v>
      </c>
      <c r="T22" s="40" t="s">
        <v>726</v>
      </c>
      <c r="U22" s="21" t="s">
        <v>32</v>
      </c>
      <c r="V22" s="40" t="s">
        <v>707</v>
      </c>
    </row>
    <row r="23" spans="1:22" ht="42" customHeight="1" x14ac:dyDescent="0.2">
      <c r="A23" s="18" t="s">
        <v>118</v>
      </c>
      <c r="B23" s="18" t="s">
        <v>119</v>
      </c>
      <c r="C23" s="18" t="s">
        <v>120</v>
      </c>
      <c r="D23" s="19" t="s">
        <v>121</v>
      </c>
      <c r="E23" s="19" t="s">
        <v>122</v>
      </c>
      <c r="F23" s="19" t="s">
        <v>123</v>
      </c>
      <c r="G23" s="19" t="s">
        <v>124</v>
      </c>
      <c r="H23" s="26" t="s">
        <v>602</v>
      </c>
      <c r="I23" s="21"/>
      <c r="J23" s="20" t="s">
        <v>497</v>
      </c>
      <c r="K23" s="21" t="s">
        <v>31</v>
      </c>
      <c r="L23" s="26" t="s">
        <v>682</v>
      </c>
      <c r="M23" s="21" t="s">
        <v>32</v>
      </c>
      <c r="N23" s="40" t="s">
        <v>702</v>
      </c>
      <c r="O23" s="21" t="s">
        <v>32</v>
      </c>
      <c r="P23" s="40" t="s">
        <v>704</v>
      </c>
      <c r="Q23" s="21" t="s">
        <v>32</v>
      </c>
      <c r="R23" s="40" t="s">
        <v>728</v>
      </c>
      <c r="S23" s="21" t="s">
        <v>33</v>
      </c>
      <c r="T23" s="40" t="s">
        <v>726</v>
      </c>
      <c r="U23" s="21" t="s">
        <v>32</v>
      </c>
      <c r="V23" s="40" t="s">
        <v>706</v>
      </c>
    </row>
    <row r="24" spans="1:22" ht="42" customHeight="1" x14ac:dyDescent="0.2">
      <c r="A24" s="21"/>
      <c r="B24" s="21"/>
      <c r="C24" s="21"/>
      <c r="D24" s="19" t="s">
        <v>125</v>
      </c>
      <c r="E24" s="19" t="s">
        <v>126</v>
      </c>
      <c r="F24" s="19" t="s">
        <v>127</v>
      </c>
      <c r="G24" s="19" t="s">
        <v>128</v>
      </c>
      <c r="H24" s="26" t="s">
        <v>603</v>
      </c>
      <c r="I24" s="21"/>
      <c r="J24" s="20" t="s">
        <v>498</v>
      </c>
      <c r="K24" s="21" t="s">
        <v>31</v>
      </c>
      <c r="L24" s="26" t="s">
        <v>683</v>
      </c>
      <c r="M24" s="21" t="s">
        <v>32</v>
      </c>
      <c r="N24" s="40" t="s">
        <v>702</v>
      </c>
      <c r="O24" s="21" t="s">
        <v>32</v>
      </c>
      <c r="P24" s="40" t="s">
        <v>704</v>
      </c>
      <c r="Q24" s="21" t="s">
        <v>32</v>
      </c>
      <c r="R24" s="40" t="s">
        <v>728</v>
      </c>
      <c r="S24" s="21" t="s">
        <v>33</v>
      </c>
      <c r="T24" s="40" t="s">
        <v>726</v>
      </c>
      <c r="U24" s="21" t="s">
        <v>32</v>
      </c>
      <c r="V24" s="40" t="s">
        <v>707</v>
      </c>
    </row>
    <row r="25" spans="1:22" ht="42" customHeight="1" x14ac:dyDescent="0.2">
      <c r="A25" s="21"/>
      <c r="B25" s="21"/>
      <c r="C25" s="21"/>
      <c r="D25" s="19" t="s">
        <v>129</v>
      </c>
      <c r="E25" s="19" t="s">
        <v>130</v>
      </c>
      <c r="F25" s="19" t="s">
        <v>131</v>
      </c>
      <c r="G25" s="19" t="s">
        <v>132</v>
      </c>
      <c r="H25" s="26" t="s">
        <v>604</v>
      </c>
      <c r="I25" s="21"/>
      <c r="J25" s="20" t="s">
        <v>499</v>
      </c>
      <c r="K25" s="21" t="s">
        <v>42</v>
      </c>
      <c r="L25" s="26" t="s">
        <v>687</v>
      </c>
      <c r="M25" s="21" t="s">
        <v>43</v>
      </c>
      <c r="N25" s="40" t="s">
        <v>703</v>
      </c>
      <c r="O25" s="21" t="s">
        <v>32</v>
      </c>
      <c r="P25" s="40" t="s">
        <v>704</v>
      </c>
      <c r="Q25" s="21" t="s">
        <v>43</v>
      </c>
      <c r="R25" s="40" t="s">
        <v>729</v>
      </c>
      <c r="S25" s="21" t="s">
        <v>44</v>
      </c>
      <c r="T25" s="40" t="s">
        <v>727</v>
      </c>
      <c r="U25" s="21" t="s">
        <v>43</v>
      </c>
      <c r="V25" s="40" t="s">
        <v>711</v>
      </c>
    </row>
    <row r="26" spans="1:22" ht="42" customHeight="1" x14ac:dyDescent="0.2">
      <c r="A26" s="21"/>
      <c r="B26" s="21"/>
      <c r="C26" s="21"/>
      <c r="D26" s="19" t="s">
        <v>133</v>
      </c>
      <c r="E26" s="19" t="s">
        <v>134</v>
      </c>
      <c r="F26" s="19" t="s">
        <v>135</v>
      </c>
      <c r="G26" s="19" t="s">
        <v>136</v>
      </c>
      <c r="H26" s="26" t="s">
        <v>605</v>
      </c>
      <c r="I26" s="21"/>
      <c r="J26" s="20" t="s">
        <v>500</v>
      </c>
      <c r="K26" s="21" t="s">
        <v>42</v>
      </c>
      <c r="L26" s="26" t="s">
        <v>688</v>
      </c>
      <c r="M26" s="21" t="s">
        <v>43</v>
      </c>
      <c r="N26" s="40" t="s">
        <v>703</v>
      </c>
      <c r="O26" s="21" t="s">
        <v>32</v>
      </c>
      <c r="P26" s="40" t="s">
        <v>704</v>
      </c>
      <c r="Q26" s="21" t="s">
        <v>43</v>
      </c>
      <c r="R26" s="40" t="s">
        <v>729</v>
      </c>
      <c r="S26" s="21" t="s">
        <v>44</v>
      </c>
      <c r="T26" s="40" t="s">
        <v>727</v>
      </c>
      <c r="U26" s="21" t="s">
        <v>43</v>
      </c>
      <c r="V26" s="40" t="s">
        <v>712</v>
      </c>
    </row>
    <row r="27" spans="1:22" ht="42" customHeight="1" x14ac:dyDescent="0.2">
      <c r="A27" s="21"/>
      <c r="B27" s="21"/>
      <c r="C27" s="21"/>
      <c r="D27" s="19" t="s">
        <v>137</v>
      </c>
      <c r="E27" s="19" t="s">
        <v>138</v>
      </c>
      <c r="F27" s="19" t="s">
        <v>139</v>
      </c>
      <c r="G27" s="19" t="s">
        <v>140</v>
      </c>
      <c r="H27" s="26" t="s">
        <v>606</v>
      </c>
      <c r="I27" s="21"/>
      <c r="J27" s="20" t="s">
        <v>501</v>
      </c>
      <c r="K27" s="21" t="s">
        <v>31</v>
      </c>
      <c r="L27" s="26" t="s">
        <v>685</v>
      </c>
      <c r="M27" s="21" t="s">
        <v>32</v>
      </c>
      <c r="N27" s="40" t="s">
        <v>702</v>
      </c>
      <c r="O27" s="21" t="s">
        <v>32</v>
      </c>
      <c r="P27" s="40" t="s">
        <v>704</v>
      </c>
      <c r="Q27" s="21" t="s">
        <v>32</v>
      </c>
      <c r="R27" s="40" t="s">
        <v>728</v>
      </c>
      <c r="S27" s="21" t="s">
        <v>33</v>
      </c>
      <c r="T27" s="40" t="s">
        <v>726</v>
      </c>
      <c r="U27" s="21" t="s">
        <v>32</v>
      </c>
      <c r="V27" s="40" t="s">
        <v>709</v>
      </c>
    </row>
    <row r="28" spans="1:22" ht="42" customHeight="1" x14ac:dyDescent="0.2">
      <c r="A28" s="21"/>
      <c r="B28" s="21"/>
      <c r="C28" s="21"/>
      <c r="D28" s="19" t="s">
        <v>141</v>
      </c>
      <c r="E28" s="19" t="s">
        <v>142</v>
      </c>
      <c r="F28" s="19" t="s">
        <v>143</v>
      </c>
      <c r="G28" s="19" t="s">
        <v>144</v>
      </c>
      <c r="H28" s="26" t="s">
        <v>607</v>
      </c>
      <c r="I28" s="21"/>
      <c r="J28" s="20" t="s">
        <v>502</v>
      </c>
      <c r="K28" s="21" t="s">
        <v>31</v>
      </c>
      <c r="L28" s="26" t="s">
        <v>683</v>
      </c>
      <c r="M28" s="21" t="s">
        <v>32</v>
      </c>
      <c r="N28" s="40" t="s">
        <v>702</v>
      </c>
      <c r="O28" s="21" t="s">
        <v>32</v>
      </c>
      <c r="P28" s="40" t="s">
        <v>704</v>
      </c>
      <c r="Q28" s="21" t="s">
        <v>32</v>
      </c>
      <c r="R28" s="40" t="s">
        <v>728</v>
      </c>
      <c r="S28" s="21" t="s">
        <v>33</v>
      </c>
      <c r="T28" s="40" t="s">
        <v>726</v>
      </c>
      <c r="U28" s="21" t="s">
        <v>32</v>
      </c>
      <c r="V28" s="40" t="s">
        <v>707</v>
      </c>
    </row>
    <row r="29" spans="1:22" ht="42" customHeight="1" x14ac:dyDescent="0.2">
      <c r="A29" s="21"/>
      <c r="B29" s="21"/>
      <c r="C29" s="21"/>
      <c r="D29" s="19" t="s">
        <v>145</v>
      </c>
      <c r="E29" s="19" t="s">
        <v>146</v>
      </c>
      <c r="F29" s="19" t="s">
        <v>147</v>
      </c>
      <c r="G29" s="19" t="s">
        <v>148</v>
      </c>
      <c r="H29" s="26" t="s">
        <v>608</v>
      </c>
      <c r="I29" s="21"/>
      <c r="J29" s="20" t="s">
        <v>503</v>
      </c>
      <c r="K29" s="21" t="s">
        <v>31</v>
      </c>
      <c r="L29" s="26" t="s">
        <v>685</v>
      </c>
      <c r="M29" s="21" t="s">
        <v>32</v>
      </c>
      <c r="N29" s="40" t="s">
        <v>702</v>
      </c>
      <c r="O29" s="21" t="s">
        <v>32</v>
      </c>
      <c r="P29" s="40" t="s">
        <v>704</v>
      </c>
      <c r="Q29" s="21" t="s">
        <v>32</v>
      </c>
      <c r="R29" s="40" t="s">
        <v>728</v>
      </c>
      <c r="S29" s="21" t="s">
        <v>33</v>
      </c>
      <c r="T29" s="40" t="s">
        <v>726</v>
      </c>
      <c r="U29" s="21" t="s">
        <v>32</v>
      </c>
      <c r="V29" s="40" t="s">
        <v>709</v>
      </c>
    </row>
    <row r="30" spans="1:22" ht="42" customHeight="1" x14ac:dyDescent="0.2">
      <c r="A30" s="21"/>
      <c r="B30" s="21"/>
      <c r="C30" s="21"/>
      <c r="D30" s="19" t="s">
        <v>149</v>
      </c>
      <c r="E30" s="19" t="s">
        <v>150</v>
      </c>
      <c r="F30" s="19" t="s">
        <v>151</v>
      </c>
      <c r="G30" s="19" t="s">
        <v>152</v>
      </c>
      <c r="H30" s="26" t="s">
        <v>609</v>
      </c>
      <c r="I30" s="21"/>
      <c r="J30" s="20" t="s">
        <v>504</v>
      </c>
      <c r="K30" s="21" t="s">
        <v>31</v>
      </c>
      <c r="L30" s="26" t="s">
        <v>683</v>
      </c>
      <c r="M30" s="21" t="s">
        <v>32</v>
      </c>
      <c r="N30" s="40" t="s">
        <v>702</v>
      </c>
      <c r="O30" s="21" t="s">
        <v>32</v>
      </c>
      <c r="P30" s="40" t="s">
        <v>704</v>
      </c>
      <c r="Q30" s="21" t="s">
        <v>32</v>
      </c>
      <c r="R30" s="40" t="s">
        <v>728</v>
      </c>
      <c r="S30" s="21" t="s">
        <v>33</v>
      </c>
      <c r="T30" s="40" t="s">
        <v>726</v>
      </c>
      <c r="U30" s="21" t="s">
        <v>32</v>
      </c>
      <c r="V30" s="40" t="s">
        <v>707</v>
      </c>
    </row>
    <row r="31" spans="1:22" ht="42" customHeight="1" x14ac:dyDescent="0.2">
      <c r="A31" s="21"/>
      <c r="B31" s="21"/>
      <c r="C31" s="21"/>
      <c r="D31" s="19" t="s">
        <v>153</v>
      </c>
      <c r="E31" s="19" t="s">
        <v>154</v>
      </c>
      <c r="F31" s="19" t="s">
        <v>155</v>
      </c>
      <c r="G31" s="19" t="s">
        <v>156</v>
      </c>
      <c r="H31" s="26" t="s">
        <v>610</v>
      </c>
      <c r="I31" s="21"/>
      <c r="J31" s="20" t="s">
        <v>505</v>
      </c>
      <c r="K31" s="21" t="s">
        <v>31</v>
      </c>
      <c r="L31" s="26" t="s">
        <v>684</v>
      </c>
      <c r="M31" s="21" t="s">
        <v>32</v>
      </c>
      <c r="N31" s="40" t="s">
        <v>702</v>
      </c>
      <c r="O31" s="21" t="s">
        <v>32</v>
      </c>
      <c r="P31" s="40" t="s">
        <v>704</v>
      </c>
      <c r="Q31" s="21" t="s">
        <v>32</v>
      </c>
      <c r="R31" s="40" t="s">
        <v>728</v>
      </c>
      <c r="S31" s="21" t="s">
        <v>33</v>
      </c>
      <c r="T31" s="40" t="s">
        <v>726</v>
      </c>
      <c r="U31" s="21" t="s">
        <v>32</v>
      </c>
      <c r="V31" s="40" t="s">
        <v>708</v>
      </c>
    </row>
    <row r="32" spans="1:22" ht="42" customHeight="1" x14ac:dyDescent="0.2">
      <c r="A32" s="21"/>
      <c r="B32" s="21"/>
      <c r="C32" s="21"/>
      <c r="D32" s="19" t="s">
        <v>157</v>
      </c>
      <c r="E32" s="19" t="s">
        <v>158</v>
      </c>
      <c r="F32" s="19" t="s">
        <v>159</v>
      </c>
      <c r="G32" s="19" t="s">
        <v>160</v>
      </c>
      <c r="H32" s="26" t="s">
        <v>611</v>
      </c>
      <c r="I32" s="21"/>
      <c r="J32" s="20" t="s">
        <v>506</v>
      </c>
      <c r="K32" s="21" t="s">
        <v>31</v>
      </c>
      <c r="L32" s="26" t="s">
        <v>685</v>
      </c>
      <c r="M32" s="21" t="s">
        <v>32</v>
      </c>
      <c r="N32" s="40" t="s">
        <v>702</v>
      </c>
      <c r="O32" s="21" t="s">
        <v>32</v>
      </c>
      <c r="P32" s="40" t="s">
        <v>704</v>
      </c>
      <c r="Q32" s="21" t="s">
        <v>32</v>
      </c>
      <c r="R32" s="40" t="s">
        <v>728</v>
      </c>
      <c r="S32" s="21" t="s">
        <v>33</v>
      </c>
      <c r="T32" s="40" t="s">
        <v>726</v>
      </c>
      <c r="U32" s="21" t="s">
        <v>32</v>
      </c>
      <c r="V32" s="40" t="s">
        <v>709</v>
      </c>
    </row>
    <row r="33" spans="1:22" ht="42" customHeight="1" x14ac:dyDescent="0.2">
      <c r="A33" s="18" t="s">
        <v>161</v>
      </c>
      <c r="B33" s="18" t="s">
        <v>162</v>
      </c>
      <c r="C33" s="18" t="s">
        <v>163</v>
      </c>
      <c r="D33" s="19" t="s">
        <v>164</v>
      </c>
      <c r="E33" s="19" t="s">
        <v>165</v>
      </c>
      <c r="F33" s="19" t="s">
        <v>166</v>
      </c>
      <c r="G33" s="19" t="s">
        <v>167</v>
      </c>
      <c r="H33" s="26" t="s">
        <v>612</v>
      </c>
      <c r="I33" s="21"/>
      <c r="J33" s="20" t="s">
        <v>507</v>
      </c>
      <c r="K33" s="21" t="s">
        <v>31</v>
      </c>
      <c r="L33" s="26" t="s">
        <v>682</v>
      </c>
      <c r="M33" s="21" t="s">
        <v>32</v>
      </c>
      <c r="N33" s="40" t="s">
        <v>702</v>
      </c>
      <c r="O33" s="21" t="s">
        <v>32</v>
      </c>
      <c r="P33" s="40" t="s">
        <v>704</v>
      </c>
      <c r="Q33" s="21" t="s">
        <v>32</v>
      </c>
      <c r="R33" s="40" t="s">
        <v>728</v>
      </c>
      <c r="S33" s="21" t="s">
        <v>33</v>
      </c>
      <c r="T33" s="40" t="s">
        <v>726</v>
      </c>
      <c r="U33" s="21" t="s">
        <v>32</v>
      </c>
      <c r="V33" s="40" t="s">
        <v>706</v>
      </c>
    </row>
    <row r="34" spans="1:22" ht="42" customHeight="1" x14ac:dyDescent="0.2">
      <c r="A34" s="21"/>
      <c r="B34" s="21"/>
      <c r="C34" s="21"/>
      <c r="D34" s="19" t="s">
        <v>168</v>
      </c>
      <c r="E34" s="19" t="s">
        <v>169</v>
      </c>
      <c r="F34" s="19" t="s">
        <v>170</v>
      </c>
      <c r="G34" s="19" t="s">
        <v>171</v>
      </c>
      <c r="H34" s="26" t="s">
        <v>613</v>
      </c>
      <c r="I34" s="21"/>
      <c r="J34" s="20" t="s">
        <v>508</v>
      </c>
      <c r="K34" s="21" t="s">
        <v>31</v>
      </c>
      <c r="L34" s="26" t="s">
        <v>683</v>
      </c>
      <c r="M34" s="21" t="s">
        <v>32</v>
      </c>
      <c r="N34" s="40" t="s">
        <v>702</v>
      </c>
      <c r="O34" s="21" t="s">
        <v>32</v>
      </c>
      <c r="P34" s="40" t="s">
        <v>704</v>
      </c>
      <c r="Q34" s="21" t="s">
        <v>32</v>
      </c>
      <c r="R34" s="40" t="s">
        <v>728</v>
      </c>
      <c r="S34" s="21" t="s">
        <v>33</v>
      </c>
      <c r="T34" s="40" t="s">
        <v>726</v>
      </c>
      <c r="U34" s="21" t="s">
        <v>32</v>
      </c>
      <c r="V34" s="40" t="s">
        <v>707</v>
      </c>
    </row>
    <row r="35" spans="1:22" ht="42" customHeight="1" x14ac:dyDescent="0.2">
      <c r="A35" s="21"/>
      <c r="B35" s="21"/>
      <c r="C35" s="21"/>
      <c r="D35" s="19" t="s">
        <v>172</v>
      </c>
      <c r="E35" s="19" t="s">
        <v>173</v>
      </c>
      <c r="F35" s="19" t="s">
        <v>174</v>
      </c>
      <c r="G35" s="19" t="s">
        <v>175</v>
      </c>
      <c r="H35" s="26" t="s">
        <v>614</v>
      </c>
      <c r="I35" s="21"/>
      <c r="J35" s="20" t="s">
        <v>509</v>
      </c>
      <c r="K35" s="21" t="s">
        <v>31</v>
      </c>
      <c r="L35" s="26" t="s">
        <v>682</v>
      </c>
      <c r="M35" s="21" t="s">
        <v>32</v>
      </c>
      <c r="N35" s="40" t="s">
        <v>702</v>
      </c>
      <c r="O35" s="21" t="s">
        <v>32</v>
      </c>
      <c r="P35" s="40" t="s">
        <v>704</v>
      </c>
      <c r="Q35" s="21" t="s">
        <v>32</v>
      </c>
      <c r="R35" s="40" t="s">
        <v>728</v>
      </c>
      <c r="S35" s="21" t="s">
        <v>33</v>
      </c>
      <c r="T35" s="40" t="s">
        <v>726</v>
      </c>
      <c r="U35" s="21" t="s">
        <v>32</v>
      </c>
      <c r="V35" s="40" t="s">
        <v>706</v>
      </c>
    </row>
    <row r="36" spans="1:22" ht="42" customHeight="1" x14ac:dyDescent="0.2">
      <c r="A36" s="21"/>
      <c r="B36" s="21"/>
      <c r="C36" s="21"/>
      <c r="D36" s="19" t="s">
        <v>176</v>
      </c>
      <c r="E36" s="19" t="s">
        <v>177</v>
      </c>
      <c r="F36" s="19" t="s">
        <v>178</v>
      </c>
      <c r="G36" s="19" t="s">
        <v>179</v>
      </c>
      <c r="H36" s="26" t="s">
        <v>615</v>
      </c>
      <c r="I36" s="21"/>
      <c r="J36" s="20" t="s">
        <v>510</v>
      </c>
      <c r="K36" s="21" t="s">
        <v>31</v>
      </c>
      <c r="L36" s="26" t="s">
        <v>685</v>
      </c>
      <c r="M36" s="21" t="s">
        <v>32</v>
      </c>
      <c r="N36" s="40" t="s">
        <v>702</v>
      </c>
      <c r="O36" s="21" t="s">
        <v>32</v>
      </c>
      <c r="P36" s="40" t="s">
        <v>704</v>
      </c>
      <c r="Q36" s="21" t="s">
        <v>32</v>
      </c>
      <c r="R36" s="40" t="s">
        <v>728</v>
      </c>
      <c r="S36" s="21" t="s">
        <v>33</v>
      </c>
      <c r="T36" s="40" t="s">
        <v>726</v>
      </c>
      <c r="U36" s="21" t="s">
        <v>32</v>
      </c>
      <c r="V36" s="40" t="s">
        <v>709</v>
      </c>
    </row>
    <row r="37" spans="1:22" ht="42" customHeight="1" x14ac:dyDescent="0.2">
      <c r="A37" s="21"/>
      <c r="B37" s="21"/>
      <c r="C37" s="21"/>
      <c r="D37" s="19" t="s">
        <v>180</v>
      </c>
      <c r="E37" s="19" t="s">
        <v>181</v>
      </c>
      <c r="F37" s="19" t="s">
        <v>182</v>
      </c>
      <c r="G37" s="19" t="s">
        <v>183</v>
      </c>
      <c r="H37" s="26" t="s">
        <v>616</v>
      </c>
      <c r="I37" s="21"/>
      <c r="J37" s="20" t="s">
        <v>511</v>
      </c>
      <c r="K37" s="21" t="s">
        <v>31</v>
      </c>
      <c r="L37" s="26" t="s">
        <v>682</v>
      </c>
      <c r="M37" s="21" t="s">
        <v>32</v>
      </c>
      <c r="N37" s="40" t="s">
        <v>702</v>
      </c>
      <c r="O37" s="21" t="s">
        <v>32</v>
      </c>
      <c r="P37" s="40" t="s">
        <v>704</v>
      </c>
      <c r="Q37" s="21" t="s">
        <v>32</v>
      </c>
      <c r="R37" s="40" t="s">
        <v>728</v>
      </c>
      <c r="S37" s="21" t="s">
        <v>33</v>
      </c>
      <c r="T37" s="40" t="s">
        <v>726</v>
      </c>
      <c r="U37" s="21" t="s">
        <v>32</v>
      </c>
      <c r="V37" s="40" t="s">
        <v>706</v>
      </c>
    </row>
    <row r="38" spans="1:22" ht="42" customHeight="1" x14ac:dyDescent="0.2">
      <c r="A38" s="21"/>
      <c r="B38" s="21"/>
      <c r="C38" s="21"/>
      <c r="D38" s="19" t="s">
        <v>184</v>
      </c>
      <c r="E38" s="19" t="s">
        <v>185</v>
      </c>
      <c r="F38" s="19" t="s">
        <v>186</v>
      </c>
      <c r="G38" s="19" t="s">
        <v>187</v>
      </c>
      <c r="H38" s="26" t="s">
        <v>617</v>
      </c>
      <c r="I38" s="21"/>
      <c r="J38" s="20" t="s">
        <v>512</v>
      </c>
      <c r="K38" s="21" t="s">
        <v>31</v>
      </c>
      <c r="L38" s="26" t="s">
        <v>682</v>
      </c>
      <c r="M38" s="21" t="s">
        <v>32</v>
      </c>
      <c r="N38" s="40" t="s">
        <v>702</v>
      </c>
      <c r="O38" s="21" t="s">
        <v>32</v>
      </c>
      <c r="P38" s="40" t="s">
        <v>704</v>
      </c>
      <c r="Q38" s="21" t="s">
        <v>32</v>
      </c>
      <c r="R38" s="40" t="s">
        <v>728</v>
      </c>
      <c r="S38" s="21" t="s">
        <v>33</v>
      </c>
      <c r="T38" s="40" t="s">
        <v>726</v>
      </c>
      <c r="U38" s="21" t="s">
        <v>32</v>
      </c>
      <c r="V38" s="40" t="s">
        <v>706</v>
      </c>
    </row>
    <row r="39" spans="1:22" ht="42" customHeight="1" x14ac:dyDescent="0.2">
      <c r="A39" s="21"/>
      <c r="B39" s="21"/>
      <c r="C39" s="21"/>
      <c r="D39" s="19" t="s">
        <v>188</v>
      </c>
      <c r="E39" s="19" t="s">
        <v>189</v>
      </c>
      <c r="F39" s="19" t="s">
        <v>190</v>
      </c>
      <c r="G39" s="19" t="s">
        <v>191</v>
      </c>
      <c r="H39" s="26" t="s">
        <v>618</v>
      </c>
      <c r="I39" s="21"/>
      <c r="J39" s="20" t="s">
        <v>513</v>
      </c>
      <c r="K39" s="21" t="s">
        <v>31</v>
      </c>
      <c r="L39" s="26" t="s">
        <v>683</v>
      </c>
      <c r="M39" s="21" t="s">
        <v>32</v>
      </c>
      <c r="N39" s="40" t="s">
        <v>702</v>
      </c>
      <c r="O39" s="21" t="s">
        <v>32</v>
      </c>
      <c r="P39" s="40" t="s">
        <v>704</v>
      </c>
      <c r="Q39" s="21" t="s">
        <v>32</v>
      </c>
      <c r="R39" s="40" t="s">
        <v>728</v>
      </c>
      <c r="S39" s="21" t="s">
        <v>33</v>
      </c>
      <c r="T39" s="40" t="s">
        <v>726</v>
      </c>
      <c r="U39" s="21" t="s">
        <v>32</v>
      </c>
      <c r="V39" s="40" t="s">
        <v>707</v>
      </c>
    </row>
    <row r="40" spans="1:22" ht="42" customHeight="1" x14ac:dyDescent="0.2">
      <c r="A40" s="21"/>
      <c r="B40" s="21"/>
      <c r="C40" s="21"/>
      <c r="D40" s="19" t="s">
        <v>192</v>
      </c>
      <c r="E40" s="19" t="s">
        <v>193</v>
      </c>
      <c r="F40" s="19" t="s">
        <v>194</v>
      </c>
      <c r="G40" s="19" t="s">
        <v>195</v>
      </c>
      <c r="H40" s="26" t="s">
        <v>619</v>
      </c>
      <c r="I40" s="21"/>
      <c r="J40" s="20" t="s">
        <v>514</v>
      </c>
      <c r="K40" s="21" t="s">
        <v>31</v>
      </c>
      <c r="L40" s="26" t="s">
        <v>682</v>
      </c>
      <c r="M40" s="21" t="s">
        <v>32</v>
      </c>
      <c r="N40" s="40" t="s">
        <v>702</v>
      </c>
      <c r="O40" s="21" t="s">
        <v>32</v>
      </c>
      <c r="P40" s="40" t="s">
        <v>704</v>
      </c>
      <c r="Q40" s="21" t="s">
        <v>32</v>
      </c>
      <c r="R40" s="40" t="s">
        <v>728</v>
      </c>
      <c r="S40" s="21" t="s">
        <v>33</v>
      </c>
      <c r="T40" s="40" t="s">
        <v>726</v>
      </c>
      <c r="U40" s="21" t="s">
        <v>32</v>
      </c>
      <c r="V40" s="40" t="s">
        <v>706</v>
      </c>
    </row>
    <row r="41" spans="1:22" ht="42" customHeight="1" x14ac:dyDescent="0.2">
      <c r="A41" s="21"/>
      <c r="B41" s="21"/>
      <c r="C41" s="21"/>
      <c r="D41" s="19" t="s">
        <v>196</v>
      </c>
      <c r="E41" s="19" t="s">
        <v>197</v>
      </c>
      <c r="F41" s="19" t="s">
        <v>198</v>
      </c>
      <c r="G41" s="19" t="s">
        <v>199</v>
      </c>
      <c r="H41" s="26" t="s">
        <v>620</v>
      </c>
      <c r="I41" s="21"/>
      <c r="J41" s="20" t="s">
        <v>515</v>
      </c>
      <c r="K41" s="21" t="s">
        <v>31</v>
      </c>
      <c r="L41" s="43" t="s">
        <v>682</v>
      </c>
      <c r="M41" s="21" t="s">
        <v>32</v>
      </c>
      <c r="N41" s="40" t="s">
        <v>702</v>
      </c>
      <c r="O41" s="21" t="s">
        <v>32</v>
      </c>
      <c r="P41" s="40" t="s">
        <v>704</v>
      </c>
      <c r="Q41" s="21" t="s">
        <v>32</v>
      </c>
      <c r="R41" s="40" t="s">
        <v>728</v>
      </c>
      <c r="S41" s="21" t="s">
        <v>33</v>
      </c>
      <c r="T41" s="40" t="s">
        <v>726</v>
      </c>
      <c r="U41" s="21" t="s">
        <v>32</v>
      </c>
      <c r="V41" s="40" t="s">
        <v>706</v>
      </c>
    </row>
    <row r="42" spans="1:22" s="1" customFormat="1" ht="42" customHeight="1" x14ac:dyDescent="0.2">
      <c r="A42" s="21"/>
      <c r="B42" s="21"/>
      <c r="C42" s="21"/>
      <c r="D42" s="19" t="s">
        <v>200</v>
      </c>
      <c r="E42" s="19" t="s">
        <v>201</v>
      </c>
      <c r="F42" s="19" t="s">
        <v>202</v>
      </c>
      <c r="G42" s="19" t="s">
        <v>61</v>
      </c>
      <c r="H42" s="26" t="s">
        <v>621</v>
      </c>
      <c r="I42" s="21"/>
      <c r="J42" s="20" t="s">
        <v>516</v>
      </c>
      <c r="K42" s="21" t="s">
        <v>31</v>
      </c>
      <c r="L42" s="26" t="s">
        <v>682</v>
      </c>
      <c r="M42" s="21" t="s">
        <v>32</v>
      </c>
      <c r="N42" s="40" t="s">
        <v>702</v>
      </c>
      <c r="O42" s="21" t="s">
        <v>32</v>
      </c>
      <c r="P42" s="40" t="s">
        <v>704</v>
      </c>
      <c r="Q42" s="21" t="s">
        <v>32</v>
      </c>
      <c r="R42" s="40" t="s">
        <v>728</v>
      </c>
      <c r="S42" s="21" t="s">
        <v>33</v>
      </c>
      <c r="T42" s="40" t="s">
        <v>726</v>
      </c>
      <c r="U42" s="21" t="s">
        <v>32</v>
      </c>
      <c r="V42" s="40" t="s">
        <v>706</v>
      </c>
    </row>
    <row r="43" spans="1:22" ht="42" customHeight="1" x14ac:dyDescent="0.2">
      <c r="A43" s="22" t="s">
        <v>203</v>
      </c>
      <c r="B43" s="22" t="s">
        <v>204</v>
      </c>
      <c r="C43" s="22" t="s">
        <v>205</v>
      </c>
      <c r="D43" s="23" t="s">
        <v>206</v>
      </c>
      <c r="E43" s="23" t="s">
        <v>207</v>
      </c>
      <c r="F43" s="23" t="s">
        <v>208</v>
      </c>
      <c r="G43" s="23" t="s">
        <v>209</v>
      </c>
      <c r="H43" s="26" t="s">
        <v>622</v>
      </c>
      <c r="I43" s="24"/>
      <c r="J43" s="20" t="s">
        <v>517</v>
      </c>
      <c r="K43" s="24" t="s">
        <v>31</v>
      </c>
      <c r="L43" s="26" t="s">
        <v>684</v>
      </c>
      <c r="M43" s="24" t="s">
        <v>32</v>
      </c>
      <c r="N43" s="40" t="s">
        <v>702</v>
      </c>
      <c r="O43" s="24" t="s">
        <v>32</v>
      </c>
      <c r="P43" s="40" t="s">
        <v>704</v>
      </c>
      <c r="Q43" s="24" t="s">
        <v>32</v>
      </c>
      <c r="R43" s="40" t="s">
        <v>728</v>
      </c>
      <c r="S43" s="24" t="s">
        <v>33</v>
      </c>
      <c r="T43" s="40" t="s">
        <v>726</v>
      </c>
      <c r="U43" s="24" t="s">
        <v>32</v>
      </c>
      <c r="V43" s="40" t="s">
        <v>708</v>
      </c>
    </row>
    <row r="44" spans="1:22" ht="42" customHeight="1" x14ac:dyDescent="0.2">
      <c r="A44" s="25"/>
      <c r="B44" s="25"/>
      <c r="C44" s="25"/>
      <c r="D44" s="26" t="s">
        <v>210</v>
      </c>
      <c r="E44" s="26" t="s">
        <v>211</v>
      </c>
      <c r="F44" s="26" t="s">
        <v>212</v>
      </c>
      <c r="G44" s="26" t="s">
        <v>213</v>
      </c>
      <c r="H44" s="26" t="s">
        <v>623</v>
      </c>
      <c r="I44" s="25"/>
      <c r="J44" s="20" t="s">
        <v>518</v>
      </c>
      <c r="K44" s="25" t="s">
        <v>31</v>
      </c>
      <c r="L44" s="26" t="s">
        <v>684</v>
      </c>
      <c r="M44" s="25" t="s">
        <v>32</v>
      </c>
      <c r="N44" s="40" t="s">
        <v>702</v>
      </c>
      <c r="O44" s="25" t="s">
        <v>32</v>
      </c>
      <c r="P44" s="40" t="s">
        <v>705</v>
      </c>
      <c r="Q44" s="25" t="s">
        <v>32</v>
      </c>
      <c r="R44" s="40" t="s">
        <v>728</v>
      </c>
      <c r="S44" s="25" t="s">
        <v>33</v>
      </c>
      <c r="T44" s="40" t="s">
        <v>726</v>
      </c>
      <c r="U44" s="25" t="s">
        <v>32</v>
      </c>
      <c r="V44" s="40" t="s">
        <v>708</v>
      </c>
    </row>
    <row r="45" spans="1:22" ht="42" customHeight="1" x14ac:dyDescent="0.2">
      <c r="A45" s="27"/>
      <c r="B45" s="27"/>
      <c r="C45" s="27"/>
      <c r="D45" s="28" t="s">
        <v>217</v>
      </c>
      <c r="E45" s="28" t="s">
        <v>218</v>
      </c>
      <c r="F45" s="28" t="s">
        <v>219</v>
      </c>
      <c r="G45" s="28" t="s">
        <v>156</v>
      </c>
      <c r="H45" s="26" t="s">
        <v>624</v>
      </c>
      <c r="I45" s="27"/>
      <c r="J45" s="20" t="s">
        <v>519</v>
      </c>
      <c r="K45" s="27" t="s">
        <v>42</v>
      </c>
      <c r="L45" s="26" t="s">
        <v>689</v>
      </c>
      <c r="M45" s="27" t="s">
        <v>43</v>
      </c>
      <c r="N45" s="40" t="s">
        <v>703</v>
      </c>
      <c r="O45" s="27" t="s">
        <v>43</v>
      </c>
      <c r="P45" s="40" t="s">
        <v>704</v>
      </c>
      <c r="Q45" s="27" t="s">
        <v>43</v>
      </c>
      <c r="R45" s="40" t="s">
        <v>729</v>
      </c>
      <c r="S45" s="27" t="s">
        <v>44</v>
      </c>
      <c r="T45" s="40" t="s">
        <v>727</v>
      </c>
      <c r="U45" s="27" t="s">
        <v>43</v>
      </c>
      <c r="V45" s="40" t="s">
        <v>713</v>
      </c>
    </row>
    <row r="46" spans="1:22" ht="42" customHeight="1" x14ac:dyDescent="0.2">
      <c r="A46" s="21"/>
      <c r="B46" s="21"/>
      <c r="C46" s="21"/>
      <c r="D46" s="19" t="s">
        <v>220</v>
      </c>
      <c r="E46" s="19" t="s">
        <v>221</v>
      </c>
      <c r="F46" s="19" t="s">
        <v>222</v>
      </c>
      <c r="G46" s="19" t="s">
        <v>223</v>
      </c>
      <c r="H46" s="26" t="s">
        <v>625</v>
      </c>
      <c r="I46" s="21"/>
      <c r="J46" s="20" t="s">
        <v>520</v>
      </c>
      <c r="K46" s="21" t="s">
        <v>31</v>
      </c>
      <c r="L46" s="26" t="s">
        <v>684</v>
      </c>
      <c r="M46" s="21" t="s">
        <v>32</v>
      </c>
      <c r="N46" s="40" t="s">
        <v>702</v>
      </c>
      <c r="O46" s="21" t="s">
        <v>32</v>
      </c>
      <c r="P46" s="40" t="s">
        <v>704</v>
      </c>
      <c r="Q46" s="21" t="s">
        <v>32</v>
      </c>
      <c r="R46" s="40" t="s">
        <v>728</v>
      </c>
      <c r="S46" s="21" t="s">
        <v>33</v>
      </c>
      <c r="T46" s="40" t="s">
        <v>726</v>
      </c>
      <c r="U46" s="21" t="s">
        <v>32</v>
      </c>
      <c r="V46" s="40" t="s">
        <v>708</v>
      </c>
    </row>
    <row r="47" spans="1:22" ht="42" customHeight="1" x14ac:dyDescent="0.2">
      <c r="A47" s="21"/>
      <c r="B47" s="21"/>
      <c r="C47" s="21"/>
      <c r="D47" s="19" t="s">
        <v>224</v>
      </c>
      <c r="E47" s="19" t="s">
        <v>225</v>
      </c>
      <c r="F47" s="19" t="s">
        <v>226</v>
      </c>
      <c r="G47" s="19" t="s">
        <v>227</v>
      </c>
      <c r="H47" s="26" t="s">
        <v>626</v>
      </c>
      <c r="I47" s="21"/>
      <c r="J47" s="20" t="s">
        <v>521</v>
      </c>
      <c r="K47" s="21" t="s">
        <v>31</v>
      </c>
      <c r="L47" s="26" t="s">
        <v>684</v>
      </c>
      <c r="M47" s="21" t="s">
        <v>32</v>
      </c>
      <c r="N47" s="40" t="s">
        <v>702</v>
      </c>
      <c r="O47" s="21" t="s">
        <v>32</v>
      </c>
      <c r="P47" s="40" t="s">
        <v>704</v>
      </c>
      <c r="Q47" s="21" t="s">
        <v>32</v>
      </c>
      <c r="R47" s="40" t="s">
        <v>728</v>
      </c>
      <c r="S47" s="21" t="s">
        <v>33</v>
      </c>
      <c r="T47" s="40" t="s">
        <v>726</v>
      </c>
      <c r="U47" s="21" t="s">
        <v>32</v>
      </c>
      <c r="V47" s="40" t="s">
        <v>708</v>
      </c>
    </row>
    <row r="48" spans="1:22" ht="42" customHeight="1" x14ac:dyDescent="0.2">
      <c r="A48" s="21"/>
      <c r="B48" s="21"/>
      <c r="C48" s="21"/>
      <c r="D48" s="19" t="s">
        <v>228</v>
      </c>
      <c r="E48" s="19" t="s">
        <v>229</v>
      </c>
      <c r="F48" s="19" t="s">
        <v>230</v>
      </c>
      <c r="G48" s="19" t="s">
        <v>231</v>
      </c>
      <c r="H48" s="26" t="s">
        <v>627</v>
      </c>
      <c r="I48" s="21"/>
      <c r="J48" s="20" t="s">
        <v>522</v>
      </c>
      <c r="K48" s="21" t="s">
        <v>42</v>
      </c>
      <c r="L48" s="26" t="s">
        <v>690</v>
      </c>
      <c r="M48" s="21" t="s">
        <v>43</v>
      </c>
      <c r="N48" s="40" t="s">
        <v>703</v>
      </c>
      <c r="O48" s="21" t="s">
        <v>32</v>
      </c>
      <c r="P48" s="40" t="s">
        <v>704</v>
      </c>
      <c r="Q48" s="24" t="s">
        <v>43</v>
      </c>
      <c r="R48" s="40" t="s">
        <v>729</v>
      </c>
      <c r="S48" s="21" t="s">
        <v>44</v>
      </c>
      <c r="T48" s="40" t="s">
        <v>727</v>
      </c>
      <c r="U48" s="21" t="s">
        <v>43</v>
      </c>
      <c r="V48" s="40" t="s">
        <v>714</v>
      </c>
    </row>
    <row r="49" spans="1:22" ht="42" customHeight="1" x14ac:dyDescent="0.2">
      <c r="A49" s="24"/>
      <c r="B49" s="24"/>
      <c r="C49" s="24"/>
      <c r="D49" s="23" t="s">
        <v>232</v>
      </c>
      <c r="E49" s="23" t="s">
        <v>233</v>
      </c>
      <c r="F49" s="23" t="s">
        <v>234</v>
      </c>
      <c r="G49" s="23" t="s">
        <v>235</v>
      </c>
      <c r="H49" s="26" t="s">
        <v>628</v>
      </c>
      <c r="I49" s="24"/>
      <c r="J49" s="20" t="s">
        <v>523</v>
      </c>
      <c r="K49" s="24" t="s">
        <v>42</v>
      </c>
      <c r="L49" s="26" t="s">
        <v>691</v>
      </c>
      <c r="M49" s="24" t="s">
        <v>43</v>
      </c>
      <c r="N49" s="40" t="s">
        <v>703</v>
      </c>
      <c r="O49" s="24" t="s">
        <v>32</v>
      </c>
      <c r="P49" s="40" t="s">
        <v>704</v>
      </c>
      <c r="Q49" s="24" t="s">
        <v>43</v>
      </c>
      <c r="R49" s="40" t="s">
        <v>729</v>
      </c>
      <c r="S49" s="24" t="s">
        <v>44</v>
      </c>
      <c r="T49" s="40" t="s">
        <v>727</v>
      </c>
      <c r="U49" s="24" t="s">
        <v>43</v>
      </c>
      <c r="V49" s="40" t="s">
        <v>715</v>
      </c>
    </row>
    <row r="50" spans="1:22" ht="42" customHeight="1" x14ac:dyDescent="0.2">
      <c r="A50" s="25"/>
      <c r="B50" s="25"/>
      <c r="C50" s="25"/>
      <c r="D50" s="26" t="s">
        <v>236</v>
      </c>
      <c r="E50" s="26" t="s">
        <v>237</v>
      </c>
      <c r="F50" s="26" t="s">
        <v>238</v>
      </c>
      <c r="G50" s="26" t="s">
        <v>239</v>
      </c>
      <c r="H50" s="26" t="s">
        <v>629</v>
      </c>
      <c r="I50" s="25"/>
      <c r="J50" s="20" t="s">
        <v>524</v>
      </c>
      <c r="K50" s="25" t="s">
        <v>31</v>
      </c>
      <c r="L50" s="26" t="s">
        <v>684</v>
      </c>
      <c r="M50" s="27" t="s">
        <v>32</v>
      </c>
      <c r="N50" s="40" t="s">
        <v>702</v>
      </c>
      <c r="O50" s="25" t="s">
        <v>32</v>
      </c>
      <c r="P50" s="40" t="s">
        <v>704</v>
      </c>
      <c r="Q50" s="27" t="s">
        <v>32</v>
      </c>
      <c r="R50" s="40" t="s">
        <v>728</v>
      </c>
      <c r="S50" s="27" t="s">
        <v>33</v>
      </c>
      <c r="T50" s="40" t="s">
        <v>726</v>
      </c>
      <c r="U50" s="27" t="s">
        <v>32</v>
      </c>
      <c r="V50" s="40" t="s">
        <v>708</v>
      </c>
    </row>
    <row r="51" spans="1:22" ht="42" customHeight="1" x14ac:dyDescent="0.2">
      <c r="A51" s="25"/>
      <c r="B51" s="25"/>
      <c r="C51" s="25"/>
      <c r="D51" s="26" t="s">
        <v>240</v>
      </c>
      <c r="E51" s="26" t="s">
        <v>241</v>
      </c>
      <c r="F51" s="26" t="s">
        <v>242</v>
      </c>
      <c r="G51" s="26" t="s">
        <v>243</v>
      </c>
      <c r="H51" s="26" t="s">
        <v>630</v>
      </c>
      <c r="I51" s="25"/>
      <c r="J51" s="20" t="s">
        <v>525</v>
      </c>
      <c r="K51" s="25" t="s">
        <v>31</v>
      </c>
      <c r="L51" s="26" t="s">
        <v>684</v>
      </c>
      <c r="M51" s="27" t="s">
        <v>32</v>
      </c>
      <c r="N51" s="40" t="s">
        <v>702</v>
      </c>
      <c r="O51" s="25" t="s">
        <v>32</v>
      </c>
      <c r="P51" s="40" t="s">
        <v>704</v>
      </c>
      <c r="Q51" s="27" t="s">
        <v>32</v>
      </c>
      <c r="R51" s="40" t="s">
        <v>728</v>
      </c>
      <c r="S51" s="27" t="s">
        <v>33</v>
      </c>
      <c r="T51" s="40" t="s">
        <v>726</v>
      </c>
      <c r="U51" s="27" t="s">
        <v>32</v>
      </c>
      <c r="V51" s="40" t="s">
        <v>708</v>
      </c>
    </row>
    <row r="52" spans="1:22" ht="42" customHeight="1" x14ac:dyDescent="0.2">
      <c r="A52" s="27"/>
      <c r="B52" s="27"/>
      <c r="C52" s="27"/>
      <c r="D52" s="28" t="s">
        <v>244</v>
      </c>
      <c r="E52" s="28" t="s">
        <v>245</v>
      </c>
      <c r="F52" s="28" t="s">
        <v>246</v>
      </c>
      <c r="G52" s="28" t="s">
        <v>247</v>
      </c>
      <c r="H52" s="26" t="s">
        <v>631</v>
      </c>
      <c r="I52" s="27"/>
      <c r="J52" s="20" t="s">
        <v>526</v>
      </c>
      <c r="K52" s="27" t="s">
        <v>31</v>
      </c>
      <c r="L52" s="26" t="s">
        <v>684</v>
      </c>
      <c r="M52" s="27" t="s">
        <v>32</v>
      </c>
      <c r="N52" s="40" t="s">
        <v>702</v>
      </c>
      <c r="O52" s="27" t="s">
        <v>32</v>
      </c>
      <c r="P52" s="40" t="s">
        <v>704</v>
      </c>
      <c r="Q52" s="27" t="s">
        <v>32</v>
      </c>
      <c r="R52" s="40" t="s">
        <v>728</v>
      </c>
      <c r="S52" s="27" t="s">
        <v>33</v>
      </c>
      <c r="T52" s="40" t="s">
        <v>726</v>
      </c>
      <c r="U52" s="27" t="s">
        <v>32</v>
      </c>
      <c r="V52" s="40" t="s">
        <v>708</v>
      </c>
    </row>
    <row r="53" spans="1:22" ht="42" customHeight="1" x14ac:dyDescent="0.2">
      <c r="A53" s="18" t="s">
        <v>248</v>
      </c>
      <c r="B53" s="18" t="s">
        <v>249</v>
      </c>
      <c r="C53" s="18" t="s">
        <v>250</v>
      </c>
      <c r="D53" s="19" t="s">
        <v>251</v>
      </c>
      <c r="E53" s="19" t="s">
        <v>252</v>
      </c>
      <c r="F53" s="19" t="s">
        <v>123</v>
      </c>
      <c r="G53" s="19" t="s">
        <v>253</v>
      </c>
      <c r="H53" s="26" t="s">
        <v>632</v>
      </c>
      <c r="I53" s="21"/>
      <c r="J53" s="20" t="s">
        <v>527</v>
      </c>
      <c r="K53" s="21" t="s">
        <v>31</v>
      </c>
      <c r="L53" s="26" t="s">
        <v>682</v>
      </c>
      <c r="M53" s="21" t="s">
        <v>32</v>
      </c>
      <c r="N53" s="40" t="s">
        <v>702</v>
      </c>
      <c r="O53" s="21" t="s">
        <v>32</v>
      </c>
      <c r="P53" s="40" t="s">
        <v>704</v>
      </c>
      <c r="Q53" s="21" t="s">
        <v>32</v>
      </c>
      <c r="R53" s="40" t="s">
        <v>728</v>
      </c>
      <c r="S53" s="21" t="s">
        <v>33</v>
      </c>
      <c r="T53" s="40" t="s">
        <v>726</v>
      </c>
      <c r="U53" s="21" t="s">
        <v>32</v>
      </c>
      <c r="V53" s="40" t="s">
        <v>706</v>
      </c>
    </row>
    <row r="54" spans="1:22" ht="42" customHeight="1" x14ac:dyDescent="0.2">
      <c r="A54" s="21"/>
      <c r="B54" s="21"/>
      <c r="C54" s="21"/>
      <c r="D54" s="19" t="s">
        <v>254</v>
      </c>
      <c r="E54" s="19" t="s">
        <v>255</v>
      </c>
      <c r="F54" s="19" t="s">
        <v>256</v>
      </c>
      <c r="G54" s="19" t="s">
        <v>257</v>
      </c>
      <c r="H54" s="26" t="s">
        <v>633</v>
      </c>
      <c r="I54" s="21"/>
      <c r="J54" s="20" t="s">
        <v>528</v>
      </c>
      <c r="K54" s="21" t="s">
        <v>31</v>
      </c>
      <c r="L54" s="26" t="s">
        <v>685</v>
      </c>
      <c r="M54" s="21" t="s">
        <v>32</v>
      </c>
      <c r="N54" s="40" t="s">
        <v>702</v>
      </c>
      <c r="O54" s="21" t="s">
        <v>32</v>
      </c>
      <c r="P54" s="40" t="s">
        <v>704</v>
      </c>
      <c r="Q54" s="21" t="s">
        <v>32</v>
      </c>
      <c r="R54" s="40" t="s">
        <v>728</v>
      </c>
      <c r="S54" s="21" t="s">
        <v>33</v>
      </c>
      <c r="T54" s="40" t="s">
        <v>726</v>
      </c>
      <c r="U54" s="21" t="s">
        <v>32</v>
      </c>
      <c r="V54" s="40" t="s">
        <v>709</v>
      </c>
    </row>
    <row r="55" spans="1:22" ht="42" customHeight="1" x14ac:dyDescent="0.2">
      <c r="A55" s="21"/>
      <c r="B55" s="21"/>
      <c r="C55" s="21"/>
      <c r="D55" s="19" t="s">
        <v>258</v>
      </c>
      <c r="E55" s="19" t="s">
        <v>259</v>
      </c>
      <c r="F55" s="19" t="s">
        <v>260</v>
      </c>
      <c r="G55" s="19" t="s">
        <v>140</v>
      </c>
      <c r="H55" s="26" t="s">
        <v>634</v>
      </c>
      <c r="I55" s="21"/>
      <c r="J55" s="20" t="s">
        <v>529</v>
      </c>
      <c r="K55" s="21" t="s">
        <v>31</v>
      </c>
      <c r="L55" s="26" t="s">
        <v>685</v>
      </c>
      <c r="M55" s="21" t="s">
        <v>32</v>
      </c>
      <c r="N55" s="40" t="s">
        <v>702</v>
      </c>
      <c r="O55" s="21" t="s">
        <v>32</v>
      </c>
      <c r="P55" s="40" t="s">
        <v>704</v>
      </c>
      <c r="Q55" s="21" t="s">
        <v>32</v>
      </c>
      <c r="R55" s="40" t="s">
        <v>728</v>
      </c>
      <c r="S55" s="21" t="s">
        <v>33</v>
      </c>
      <c r="T55" s="40" t="s">
        <v>726</v>
      </c>
      <c r="U55" s="21" t="s">
        <v>32</v>
      </c>
      <c r="V55" s="40" t="s">
        <v>709</v>
      </c>
    </row>
    <row r="56" spans="1:22" ht="42" customHeight="1" x14ac:dyDescent="0.2">
      <c r="A56" s="21"/>
      <c r="B56" s="21"/>
      <c r="C56" s="21"/>
      <c r="D56" s="19" t="s">
        <v>261</v>
      </c>
      <c r="E56" s="19" t="s">
        <v>262</v>
      </c>
      <c r="F56" s="19" t="s">
        <v>263</v>
      </c>
      <c r="G56" s="19" t="s">
        <v>264</v>
      </c>
      <c r="H56" s="26" t="s">
        <v>635</v>
      </c>
      <c r="I56" s="21"/>
      <c r="J56" s="20" t="s">
        <v>530</v>
      </c>
      <c r="K56" s="21" t="s">
        <v>31</v>
      </c>
      <c r="L56" s="26" t="s">
        <v>682</v>
      </c>
      <c r="M56" s="21" t="s">
        <v>32</v>
      </c>
      <c r="N56" s="40" t="s">
        <v>702</v>
      </c>
      <c r="O56" s="21" t="s">
        <v>32</v>
      </c>
      <c r="P56" s="40" t="s">
        <v>704</v>
      </c>
      <c r="Q56" s="21" t="s">
        <v>32</v>
      </c>
      <c r="R56" s="40" t="s">
        <v>728</v>
      </c>
      <c r="S56" s="21" t="s">
        <v>33</v>
      </c>
      <c r="T56" s="40" t="s">
        <v>726</v>
      </c>
      <c r="U56" s="21" t="s">
        <v>32</v>
      </c>
      <c r="V56" s="40" t="s">
        <v>706</v>
      </c>
    </row>
    <row r="57" spans="1:22" ht="42" customHeight="1" x14ac:dyDescent="0.2">
      <c r="A57" s="21"/>
      <c r="B57" s="21"/>
      <c r="C57" s="21"/>
      <c r="D57" s="19" t="s">
        <v>265</v>
      </c>
      <c r="E57" s="19" t="s">
        <v>266</v>
      </c>
      <c r="F57" s="19" t="s">
        <v>267</v>
      </c>
      <c r="G57" s="19" t="s">
        <v>268</v>
      </c>
      <c r="H57" s="26" t="s">
        <v>636</v>
      </c>
      <c r="I57" s="21"/>
      <c r="J57" s="20" t="s">
        <v>531</v>
      </c>
      <c r="K57" s="21" t="s">
        <v>31</v>
      </c>
      <c r="L57" s="26" t="s">
        <v>682</v>
      </c>
      <c r="M57" s="21" t="s">
        <v>32</v>
      </c>
      <c r="N57" s="40" t="s">
        <v>702</v>
      </c>
      <c r="O57" s="21" t="s">
        <v>32</v>
      </c>
      <c r="P57" s="40" t="s">
        <v>704</v>
      </c>
      <c r="Q57" s="21" t="s">
        <v>32</v>
      </c>
      <c r="R57" s="40" t="s">
        <v>728</v>
      </c>
      <c r="S57" s="21" t="s">
        <v>33</v>
      </c>
      <c r="T57" s="40" t="s">
        <v>726</v>
      </c>
      <c r="U57" s="21" t="s">
        <v>32</v>
      </c>
      <c r="V57" s="40" t="s">
        <v>706</v>
      </c>
    </row>
    <row r="58" spans="1:22" ht="42" customHeight="1" x14ac:dyDescent="0.2">
      <c r="A58" s="21"/>
      <c r="B58" s="21"/>
      <c r="C58" s="21"/>
      <c r="D58" s="19" t="s">
        <v>269</v>
      </c>
      <c r="E58" s="19" t="s">
        <v>270</v>
      </c>
      <c r="F58" s="19" t="s">
        <v>271</v>
      </c>
      <c r="G58" s="19" t="s">
        <v>272</v>
      </c>
      <c r="H58" s="26" t="s">
        <v>637</v>
      </c>
      <c r="I58" s="21"/>
      <c r="J58" s="20" t="s">
        <v>532</v>
      </c>
      <c r="K58" s="21" t="s">
        <v>31</v>
      </c>
      <c r="L58" s="26" t="s">
        <v>682</v>
      </c>
      <c r="M58" s="21" t="s">
        <v>32</v>
      </c>
      <c r="N58" s="40" t="s">
        <v>702</v>
      </c>
      <c r="O58" s="21" t="s">
        <v>32</v>
      </c>
      <c r="P58" s="40" t="s">
        <v>704</v>
      </c>
      <c r="Q58" s="21" t="s">
        <v>32</v>
      </c>
      <c r="R58" s="40" t="s">
        <v>728</v>
      </c>
      <c r="S58" s="21" t="s">
        <v>33</v>
      </c>
      <c r="T58" s="40" t="s">
        <v>726</v>
      </c>
      <c r="U58" s="21" t="s">
        <v>32</v>
      </c>
      <c r="V58" s="40" t="s">
        <v>706</v>
      </c>
    </row>
    <row r="59" spans="1:22" ht="42" customHeight="1" x14ac:dyDescent="0.2">
      <c r="A59" s="21"/>
      <c r="B59" s="21"/>
      <c r="C59" s="21"/>
      <c r="D59" s="19" t="s">
        <v>273</v>
      </c>
      <c r="E59" s="19" t="s">
        <v>274</v>
      </c>
      <c r="F59" s="19" t="s">
        <v>275</v>
      </c>
      <c r="G59" s="19" t="s">
        <v>276</v>
      </c>
      <c r="H59" s="26" t="s">
        <v>638</v>
      </c>
      <c r="I59" s="21"/>
      <c r="J59" s="20" t="s">
        <v>533</v>
      </c>
      <c r="K59" s="21" t="s">
        <v>31</v>
      </c>
      <c r="L59" s="26" t="s">
        <v>683</v>
      </c>
      <c r="M59" s="21" t="s">
        <v>32</v>
      </c>
      <c r="N59" s="40" t="s">
        <v>702</v>
      </c>
      <c r="O59" s="21" t="s">
        <v>32</v>
      </c>
      <c r="P59" s="40" t="s">
        <v>704</v>
      </c>
      <c r="Q59" s="21" t="s">
        <v>32</v>
      </c>
      <c r="R59" s="40" t="s">
        <v>728</v>
      </c>
      <c r="S59" s="21" t="s">
        <v>33</v>
      </c>
      <c r="T59" s="40" t="s">
        <v>726</v>
      </c>
      <c r="U59" s="21" t="s">
        <v>32</v>
      </c>
      <c r="V59" s="40" t="s">
        <v>707</v>
      </c>
    </row>
    <row r="60" spans="1:22" ht="42" customHeight="1" x14ac:dyDescent="0.2">
      <c r="A60" s="21"/>
      <c r="B60" s="21"/>
      <c r="C60" s="21"/>
      <c r="D60" s="19" t="s">
        <v>277</v>
      </c>
      <c r="E60" s="19" t="s">
        <v>278</v>
      </c>
      <c r="F60" s="19" t="s">
        <v>279</v>
      </c>
      <c r="G60" s="19" t="s">
        <v>280</v>
      </c>
      <c r="H60" s="26" t="s">
        <v>639</v>
      </c>
      <c r="I60" s="21"/>
      <c r="J60" s="20" t="s">
        <v>534</v>
      </c>
      <c r="K60" s="21" t="s">
        <v>31</v>
      </c>
      <c r="L60" s="26" t="s">
        <v>682</v>
      </c>
      <c r="M60" s="21" t="s">
        <v>32</v>
      </c>
      <c r="N60" s="40" t="s">
        <v>702</v>
      </c>
      <c r="O60" s="21" t="s">
        <v>32</v>
      </c>
      <c r="P60" s="40" t="s">
        <v>704</v>
      </c>
      <c r="Q60" s="21" t="s">
        <v>32</v>
      </c>
      <c r="R60" s="40" t="s">
        <v>728</v>
      </c>
      <c r="S60" s="21" t="s">
        <v>33</v>
      </c>
      <c r="T60" s="40" t="s">
        <v>726</v>
      </c>
      <c r="U60" s="21" t="s">
        <v>32</v>
      </c>
      <c r="V60" s="40" t="s">
        <v>706</v>
      </c>
    </row>
    <row r="61" spans="1:22" ht="42" customHeight="1" x14ac:dyDescent="0.2">
      <c r="A61" s="21"/>
      <c r="B61" s="21"/>
      <c r="C61" s="21"/>
      <c r="D61" s="19" t="s">
        <v>281</v>
      </c>
      <c r="E61" s="19" t="s">
        <v>282</v>
      </c>
      <c r="F61" s="19" t="s">
        <v>283</v>
      </c>
      <c r="G61" s="19" t="s">
        <v>284</v>
      </c>
      <c r="H61" s="26" t="s">
        <v>640</v>
      </c>
      <c r="I61" s="21"/>
      <c r="J61" s="20" t="s">
        <v>535</v>
      </c>
      <c r="K61" s="21" t="s">
        <v>31</v>
      </c>
      <c r="L61" s="26" t="s">
        <v>682</v>
      </c>
      <c r="M61" s="21" t="s">
        <v>32</v>
      </c>
      <c r="N61" s="40" t="s">
        <v>702</v>
      </c>
      <c r="O61" s="21" t="s">
        <v>32</v>
      </c>
      <c r="P61" s="40" t="s">
        <v>704</v>
      </c>
      <c r="Q61" s="21" t="s">
        <v>32</v>
      </c>
      <c r="R61" s="40" t="s">
        <v>728</v>
      </c>
      <c r="S61" s="21" t="s">
        <v>33</v>
      </c>
      <c r="T61" s="40" t="s">
        <v>726</v>
      </c>
      <c r="U61" s="21" t="s">
        <v>32</v>
      </c>
      <c r="V61" s="40" t="s">
        <v>706</v>
      </c>
    </row>
    <row r="62" spans="1:22" ht="42" customHeight="1" x14ac:dyDescent="0.2">
      <c r="A62" s="21"/>
      <c r="B62" s="21"/>
      <c r="C62" s="21"/>
      <c r="D62" s="19" t="s">
        <v>285</v>
      </c>
      <c r="E62" s="19" t="s">
        <v>286</v>
      </c>
      <c r="F62" s="19" t="s">
        <v>287</v>
      </c>
      <c r="G62" s="19" t="s">
        <v>288</v>
      </c>
      <c r="H62" s="26" t="s">
        <v>641</v>
      </c>
      <c r="I62" s="21"/>
      <c r="J62" s="20" t="s">
        <v>536</v>
      </c>
      <c r="K62" s="21" t="s">
        <v>31</v>
      </c>
      <c r="L62" s="26" t="s">
        <v>682</v>
      </c>
      <c r="M62" s="21" t="s">
        <v>32</v>
      </c>
      <c r="N62" s="40" t="s">
        <v>702</v>
      </c>
      <c r="O62" s="21" t="s">
        <v>32</v>
      </c>
      <c r="P62" s="40" t="s">
        <v>704</v>
      </c>
      <c r="Q62" s="21" t="s">
        <v>32</v>
      </c>
      <c r="R62" s="40" t="s">
        <v>728</v>
      </c>
      <c r="S62" s="21" t="s">
        <v>33</v>
      </c>
      <c r="T62" s="40" t="s">
        <v>726</v>
      </c>
      <c r="U62" s="21" t="s">
        <v>32</v>
      </c>
      <c r="V62" s="40" t="s">
        <v>706</v>
      </c>
    </row>
    <row r="63" spans="1:22" ht="42" customHeight="1" x14ac:dyDescent="0.2">
      <c r="A63" s="18" t="s">
        <v>289</v>
      </c>
      <c r="B63" s="18" t="s">
        <v>290</v>
      </c>
      <c r="C63" s="18" t="s">
        <v>291</v>
      </c>
      <c r="D63" s="19" t="s">
        <v>292</v>
      </c>
      <c r="E63" s="19" t="s">
        <v>293</v>
      </c>
      <c r="F63" s="19" t="s">
        <v>104</v>
      </c>
      <c r="G63" s="19" t="s">
        <v>294</v>
      </c>
      <c r="H63" s="26" t="s">
        <v>642</v>
      </c>
      <c r="I63" s="21"/>
      <c r="J63" s="20" t="s">
        <v>537</v>
      </c>
      <c r="K63" s="21" t="s">
        <v>31</v>
      </c>
      <c r="L63" s="26" t="s">
        <v>685</v>
      </c>
      <c r="M63" s="21" t="s">
        <v>32</v>
      </c>
      <c r="N63" s="40" t="s">
        <v>702</v>
      </c>
      <c r="O63" s="21" t="s">
        <v>32</v>
      </c>
      <c r="P63" s="40" t="s">
        <v>704</v>
      </c>
      <c r="Q63" s="21" t="s">
        <v>32</v>
      </c>
      <c r="R63" s="40" t="s">
        <v>728</v>
      </c>
      <c r="S63" s="21" t="s">
        <v>33</v>
      </c>
      <c r="T63" s="40" t="s">
        <v>726</v>
      </c>
      <c r="U63" s="21" t="s">
        <v>32</v>
      </c>
      <c r="V63" s="40" t="s">
        <v>709</v>
      </c>
    </row>
    <row r="64" spans="1:22" ht="42" customHeight="1" x14ac:dyDescent="0.2">
      <c r="A64" s="21"/>
      <c r="B64" s="21"/>
      <c r="C64" s="21"/>
      <c r="D64" s="19" t="s">
        <v>295</v>
      </c>
      <c r="E64" s="19" t="s">
        <v>296</v>
      </c>
      <c r="F64" s="19" t="s">
        <v>112</v>
      </c>
      <c r="G64" s="19" t="s">
        <v>113</v>
      </c>
      <c r="H64" s="26" t="s">
        <v>643</v>
      </c>
      <c r="I64" s="21"/>
      <c r="J64" s="20" t="s">
        <v>538</v>
      </c>
      <c r="K64" s="21" t="s">
        <v>31</v>
      </c>
      <c r="L64" s="26" t="s">
        <v>685</v>
      </c>
      <c r="M64" s="21" t="s">
        <v>32</v>
      </c>
      <c r="N64" s="40" t="s">
        <v>702</v>
      </c>
      <c r="O64" s="21" t="s">
        <v>32</v>
      </c>
      <c r="P64" s="40" t="s">
        <v>704</v>
      </c>
      <c r="Q64" s="21" t="s">
        <v>32</v>
      </c>
      <c r="R64" s="40" t="s">
        <v>728</v>
      </c>
      <c r="S64" s="21" t="s">
        <v>33</v>
      </c>
      <c r="T64" s="40" t="s">
        <v>726</v>
      </c>
      <c r="U64" s="21" t="s">
        <v>32</v>
      </c>
      <c r="V64" s="40" t="s">
        <v>709</v>
      </c>
    </row>
    <row r="65" spans="1:22" ht="42" customHeight="1" x14ac:dyDescent="0.2">
      <c r="A65" s="21"/>
      <c r="B65" s="21"/>
      <c r="C65" s="21"/>
      <c r="D65" s="19" t="s">
        <v>297</v>
      </c>
      <c r="E65" s="19" t="s">
        <v>298</v>
      </c>
      <c r="F65" s="19" t="s">
        <v>299</v>
      </c>
      <c r="G65" s="19" t="s">
        <v>300</v>
      </c>
      <c r="H65" s="26" t="s">
        <v>644</v>
      </c>
      <c r="I65" s="21"/>
      <c r="J65" s="20" t="s">
        <v>539</v>
      </c>
      <c r="K65" s="21" t="s">
        <v>31</v>
      </c>
      <c r="L65" s="26" t="s">
        <v>685</v>
      </c>
      <c r="M65" s="21" t="s">
        <v>32</v>
      </c>
      <c r="N65" s="40" t="s">
        <v>702</v>
      </c>
      <c r="O65" s="21" t="s">
        <v>32</v>
      </c>
      <c r="P65" s="40" t="s">
        <v>704</v>
      </c>
      <c r="Q65" s="21" t="s">
        <v>32</v>
      </c>
      <c r="R65" s="40" t="s">
        <v>728</v>
      </c>
      <c r="S65" s="21" t="s">
        <v>33</v>
      </c>
      <c r="T65" s="40" t="s">
        <v>726</v>
      </c>
      <c r="U65" s="21" t="s">
        <v>32</v>
      </c>
      <c r="V65" s="40" t="s">
        <v>709</v>
      </c>
    </row>
    <row r="66" spans="1:22" ht="42" customHeight="1" x14ac:dyDescent="0.2">
      <c r="A66" s="21"/>
      <c r="B66" s="21"/>
      <c r="C66" s="21"/>
      <c r="D66" s="19" t="s">
        <v>301</v>
      </c>
      <c r="E66" s="19" t="s">
        <v>302</v>
      </c>
      <c r="F66" s="19" t="s">
        <v>178</v>
      </c>
      <c r="G66" s="19" t="s">
        <v>148</v>
      </c>
      <c r="H66" s="26" t="s">
        <v>645</v>
      </c>
      <c r="I66" s="21"/>
      <c r="J66" s="20" t="s">
        <v>540</v>
      </c>
      <c r="K66" s="21" t="s">
        <v>42</v>
      </c>
      <c r="L66" s="26" t="s">
        <v>692</v>
      </c>
      <c r="M66" s="21" t="s">
        <v>43</v>
      </c>
      <c r="N66" s="40" t="s">
        <v>703</v>
      </c>
      <c r="O66" s="21" t="s">
        <v>32</v>
      </c>
      <c r="P66" s="40" t="s">
        <v>704</v>
      </c>
      <c r="Q66" s="21" t="s">
        <v>43</v>
      </c>
      <c r="R66" s="40" t="s">
        <v>729</v>
      </c>
      <c r="S66" s="21" t="s">
        <v>44</v>
      </c>
      <c r="T66" s="40" t="s">
        <v>727</v>
      </c>
      <c r="U66" s="21" t="s">
        <v>43</v>
      </c>
      <c r="V66" s="40" t="s">
        <v>716</v>
      </c>
    </row>
    <row r="67" spans="1:22" ht="42" customHeight="1" x14ac:dyDescent="0.2">
      <c r="A67" s="21"/>
      <c r="B67" s="21"/>
      <c r="C67" s="21"/>
      <c r="D67" s="19" t="s">
        <v>303</v>
      </c>
      <c r="E67" s="19" t="s">
        <v>304</v>
      </c>
      <c r="F67" s="19" t="s">
        <v>305</v>
      </c>
      <c r="G67" s="19" t="s">
        <v>140</v>
      </c>
      <c r="H67" s="26" t="s">
        <v>646</v>
      </c>
      <c r="I67" s="21"/>
      <c r="J67" s="20" t="s">
        <v>541</v>
      </c>
      <c r="K67" s="21" t="s">
        <v>31</v>
      </c>
      <c r="L67" s="26" t="s">
        <v>685</v>
      </c>
      <c r="M67" s="21" t="s">
        <v>32</v>
      </c>
      <c r="N67" s="40" t="s">
        <v>702</v>
      </c>
      <c r="O67" s="21" t="s">
        <v>32</v>
      </c>
      <c r="P67" s="40" t="s">
        <v>704</v>
      </c>
      <c r="Q67" s="21" t="s">
        <v>32</v>
      </c>
      <c r="R67" s="40" t="s">
        <v>728</v>
      </c>
      <c r="S67" s="21" t="s">
        <v>33</v>
      </c>
      <c r="T67" s="40" t="s">
        <v>726</v>
      </c>
      <c r="U67" s="21" t="s">
        <v>32</v>
      </c>
      <c r="V67" s="40" t="s">
        <v>709</v>
      </c>
    </row>
    <row r="68" spans="1:22" ht="42" customHeight="1" x14ac:dyDescent="0.2">
      <c r="A68" s="21"/>
      <c r="B68" s="21"/>
      <c r="C68" s="21"/>
      <c r="D68" s="19" t="s">
        <v>306</v>
      </c>
      <c r="E68" s="19" t="s">
        <v>307</v>
      </c>
      <c r="F68" s="19" t="s">
        <v>308</v>
      </c>
      <c r="G68" s="19" t="s">
        <v>309</v>
      </c>
      <c r="H68" s="26" t="s">
        <v>647</v>
      </c>
      <c r="I68" s="21"/>
      <c r="J68" s="20" t="s">
        <v>542</v>
      </c>
      <c r="K68" s="21" t="s">
        <v>42</v>
      </c>
      <c r="L68" s="26" t="s">
        <v>693</v>
      </c>
      <c r="M68" s="21" t="s">
        <v>43</v>
      </c>
      <c r="N68" s="40" t="s">
        <v>703</v>
      </c>
      <c r="O68" s="21" t="s">
        <v>32</v>
      </c>
      <c r="P68" s="40" t="s">
        <v>704</v>
      </c>
      <c r="Q68" s="21" t="s">
        <v>43</v>
      </c>
      <c r="R68" s="40" t="s">
        <v>729</v>
      </c>
      <c r="S68" s="21" t="s">
        <v>44</v>
      </c>
      <c r="T68" s="40" t="s">
        <v>727</v>
      </c>
      <c r="U68" s="21" t="s">
        <v>43</v>
      </c>
      <c r="V68" s="40" t="s">
        <v>717</v>
      </c>
    </row>
    <row r="69" spans="1:22" ht="42" customHeight="1" x14ac:dyDescent="0.2">
      <c r="A69" s="21"/>
      <c r="B69" s="21"/>
      <c r="C69" s="21"/>
      <c r="D69" s="19" t="s">
        <v>310</v>
      </c>
      <c r="E69" s="19" t="s">
        <v>311</v>
      </c>
      <c r="F69" s="19" t="s">
        <v>312</v>
      </c>
      <c r="G69" s="19" t="s">
        <v>313</v>
      </c>
      <c r="H69" s="26" t="s">
        <v>648</v>
      </c>
      <c r="I69" s="21"/>
      <c r="J69" s="20" t="s">
        <v>543</v>
      </c>
      <c r="K69" s="21" t="s">
        <v>31</v>
      </c>
      <c r="L69" s="26" t="s">
        <v>685</v>
      </c>
      <c r="M69" s="21" t="s">
        <v>32</v>
      </c>
      <c r="N69" s="40" t="s">
        <v>702</v>
      </c>
      <c r="O69" s="21" t="s">
        <v>32</v>
      </c>
      <c r="P69" s="40" t="s">
        <v>704</v>
      </c>
      <c r="Q69" s="21" t="s">
        <v>32</v>
      </c>
      <c r="R69" s="40" t="s">
        <v>728</v>
      </c>
      <c r="S69" s="21" t="s">
        <v>33</v>
      </c>
      <c r="T69" s="40" t="s">
        <v>726</v>
      </c>
      <c r="U69" s="21" t="s">
        <v>32</v>
      </c>
      <c r="V69" s="40" t="s">
        <v>709</v>
      </c>
    </row>
    <row r="70" spans="1:22" ht="42" customHeight="1" x14ac:dyDescent="0.2">
      <c r="A70" s="21"/>
      <c r="B70" s="21"/>
      <c r="C70" s="21"/>
      <c r="D70" s="19" t="s">
        <v>314</v>
      </c>
      <c r="E70" s="19" t="s">
        <v>315</v>
      </c>
      <c r="F70" s="19" t="s">
        <v>316</v>
      </c>
      <c r="G70" s="19" t="s">
        <v>317</v>
      </c>
      <c r="H70" s="26" t="s">
        <v>649</v>
      </c>
      <c r="I70" s="21"/>
      <c r="J70" s="20" t="s">
        <v>544</v>
      </c>
      <c r="K70" s="21" t="s">
        <v>31</v>
      </c>
      <c r="L70" s="26" t="s">
        <v>685</v>
      </c>
      <c r="M70" s="21" t="s">
        <v>32</v>
      </c>
      <c r="N70" s="40" t="s">
        <v>702</v>
      </c>
      <c r="O70" s="21" t="s">
        <v>32</v>
      </c>
      <c r="P70" s="40" t="s">
        <v>704</v>
      </c>
      <c r="Q70" s="21" t="s">
        <v>32</v>
      </c>
      <c r="R70" s="40" t="s">
        <v>728</v>
      </c>
      <c r="S70" s="21" t="s">
        <v>33</v>
      </c>
      <c r="T70" s="40" t="s">
        <v>726</v>
      </c>
      <c r="U70" s="21" t="s">
        <v>32</v>
      </c>
      <c r="V70" s="40" t="s">
        <v>709</v>
      </c>
    </row>
    <row r="71" spans="1:22" ht="42" customHeight="1" x14ac:dyDescent="0.2">
      <c r="A71" s="21"/>
      <c r="B71" s="21"/>
      <c r="C71" s="21"/>
      <c r="D71" s="19" t="s">
        <v>318</v>
      </c>
      <c r="E71" s="19" t="s">
        <v>319</v>
      </c>
      <c r="F71" s="19" t="s">
        <v>320</v>
      </c>
      <c r="G71" s="19" t="s">
        <v>321</v>
      </c>
      <c r="H71" s="26" t="s">
        <v>650</v>
      </c>
      <c r="I71" s="21"/>
      <c r="J71" s="20" t="s">
        <v>545</v>
      </c>
      <c r="K71" s="21" t="s">
        <v>31</v>
      </c>
      <c r="L71" s="26" t="s">
        <v>685</v>
      </c>
      <c r="M71" s="21" t="s">
        <v>32</v>
      </c>
      <c r="N71" s="40" t="s">
        <v>702</v>
      </c>
      <c r="O71" s="21" t="s">
        <v>32</v>
      </c>
      <c r="P71" s="40" t="s">
        <v>704</v>
      </c>
      <c r="Q71" s="21" t="s">
        <v>32</v>
      </c>
      <c r="R71" s="40" t="s">
        <v>728</v>
      </c>
      <c r="S71" s="21" t="s">
        <v>33</v>
      </c>
      <c r="T71" s="40" t="s">
        <v>726</v>
      </c>
      <c r="U71" s="21" t="s">
        <v>32</v>
      </c>
      <c r="V71" s="40" t="s">
        <v>709</v>
      </c>
    </row>
    <row r="72" spans="1:22" ht="42" customHeight="1" x14ac:dyDescent="0.2">
      <c r="A72" s="21"/>
      <c r="B72" s="21"/>
      <c r="C72" s="21"/>
      <c r="D72" s="19" t="s">
        <v>322</v>
      </c>
      <c r="E72" s="19" t="s">
        <v>323</v>
      </c>
      <c r="F72" s="19" t="s">
        <v>324</v>
      </c>
      <c r="G72" s="19" t="s">
        <v>325</v>
      </c>
      <c r="H72" s="26" t="s">
        <v>651</v>
      </c>
      <c r="I72" s="21"/>
      <c r="J72" s="20" t="s">
        <v>546</v>
      </c>
      <c r="K72" s="21" t="s">
        <v>31</v>
      </c>
      <c r="L72" s="26" t="s">
        <v>685</v>
      </c>
      <c r="M72" s="21" t="s">
        <v>32</v>
      </c>
      <c r="N72" s="40" t="s">
        <v>702</v>
      </c>
      <c r="O72" s="21" t="s">
        <v>32</v>
      </c>
      <c r="P72" s="40" t="s">
        <v>704</v>
      </c>
      <c r="Q72" s="21" t="s">
        <v>32</v>
      </c>
      <c r="R72" s="40" t="s">
        <v>728</v>
      </c>
      <c r="S72" s="21" t="s">
        <v>33</v>
      </c>
      <c r="T72" s="40" t="s">
        <v>726</v>
      </c>
      <c r="U72" s="21" t="s">
        <v>32</v>
      </c>
      <c r="V72" s="40" t="s">
        <v>709</v>
      </c>
    </row>
    <row r="73" spans="1:22" ht="42" customHeight="1" x14ac:dyDescent="0.2">
      <c r="A73" s="18" t="s">
        <v>326</v>
      </c>
      <c r="B73" s="18" t="s">
        <v>327</v>
      </c>
      <c r="C73" s="18" t="s">
        <v>328</v>
      </c>
      <c r="D73" s="19" t="s">
        <v>329</v>
      </c>
      <c r="E73" s="19" t="s">
        <v>330</v>
      </c>
      <c r="F73" s="19" t="s">
        <v>143</v>
      </c>
      <c r="G73" s="19" t="s">
        <v>144</v>
      </c>
      <c r="H73" s="26" t="s">
        <v>652</v>
      </c>
      <c r="I73" s="21"/>
      <c r="J73" s="20" t="s">
        <v>547</v>
      </c>
      <c r="K73" s="21" t="s">
        <v>31</v>
      </c>
      <c r="L73" s="26" t="s">
        <v>683</v>
      </c>
      <c r="M73" s="21" t="s">
        <v>32</v>
      </c>
      <c r="N73" s="40" t="s">
        <v>702</v>
      </c>
      <c r="O73" s="21" t="s">
        <v>32</v>
      </c>
      <c r="P73" s="40" t="s">
        <v>704</v>
      </c>
      <c r="Q73" s="21" t="s">
        <v>32</v>
      </c>
      <c r="R73" s="40" t="s">
        <v>728</v>
      </c>
      <c r="S73" s="21" t="s">
        <v>33</v>
      </c>
      <c r="T73" s="40" t="s">
        <v>726</v>
      </c>
      <c r="U73" s="21" t="s">
        <v>32</v>
      </c>
      <c r="V73" s="40" t="s">
        <v>707</v>
      </c>
    </row>
    <row r="74" spans="1:22" ht="42" customHeight="1" x14ac:dyDescent="0.2">
      <c r="A74" s="21"/>
      <c r="B74" s="21"/>
      <c r="C74" s="21"/>
      <c r="D74" s="19" t="s">
        <v>331</v>
      </c>
      <c r="E74" s="19" t="s">
        <v>332</v>
      </c>
      <c r="F74" s="19" t="s">
        <v>333</v>
      </c>
      <c r="G74" s="19" t="s">
        <v>334</v>
      </c>
      <c r="H74" s="26" t="s">
        <v>653</v>
      </c>
      <c r="I74" s="21"/>
      <c r="J74" s="20" t="s">
        <v>548</v>
      </c>
      <c r="K74" s="21" t="s">
        <v>31</v>
      </c>
      <c r="L74" s="26" t="s">
        <v>683</v>
      </c>
      <c r="M74" s="21" t="s">
        <v>32</v>
      </c>
      <c r="N74" s="40" t="s">
        <v>702</v>
      </c>
      <c r="O74" s="21" t="s">
        <v>32</v>
      </c>
      <c r="P74" s="40" t="s">
        <v>704</v>
      </c>
      <c r="Q74" s="21" t="s">
        <v>32</v>
      </c>
      <c r="R74" s="40" t="s">
        <v>728</v>
      </c>
      <c r="S74" s="21" t="s">
        <v>33</v>
      </c>
      <c r="T74" s="40" t="s">
        <v>726</v>
      </c>
      <c r="U74" s="21" t="s">
        <v>32</v>
      </c>
      <c r="V74" s="40" t="s">
        <v>707</v>
      </c>
    </row>
    <row r="75" spans="1:22" ht="42" customHeight="1" x14ac:dyDescent="0.2">
      <c r="A75" s="21"/>
      <c r="B75" s="21"/>
      <c r="C75" s="21"/>
      <c r="D75" s="19" t="s">
        <v>335</v>
      </c>
      <c r="E75" s="19" t="s">
        <v>336</v>
      </c>
      <c r="F75" s="19" t="s">
        <v>131</v>
      </c>
      <c r="G75" s="19" t="s">
        <v>132</v>
      </c>
      <c r="H75" s="26" t="s">
        <v>654</v>
      </c>
      <c r="I75" s="21"/>
      <c r="J75" s="20" t="s">
        <v>549</v>
      </c>
      <c r="K75" s="21" t="s">
        <v>42</v>
      </c>
      <c r="L75" s="26" t="s">
        <v>694</v>
      </c>
      <c r="M75" s="21" t="s">
        <v>43</v>
      </c>
      <c r="N75" s="40" t="s">
        <v>703</v>
      </c>
      <c r="O75" s="21" t="s">
        <v>32</v>
      </c>
      <c r="P75" s="40" t="s">
        <v>704</v>
      </c>
      <c r="Q75" s="21" t="s">
        <v>43</v>
      </c>
      <c r="R75" s="40" t="s">
        <v>729</v>
      </c>
      <c r="S75" s="21" t="s">
        <v>44</v>
      </c>
      <c r="T75" s="40" t="s">
        <v>727</v>
      </c>
      <c r="U75" s="21" t="s">
        <v>43</v>
      </c>
      <c r="V75" s="40" t="s">
        <v>718</v>
      </c>
    </row>
    <row r="76" spans="1:22" ht="42" customHeight="1" x14ac:dyDescent="0.2">
      <c r="A76" s="21"/>
      <c r="B76" s="21"/>
      <c r="C76" s="21"/>
      <c r="D76" s="19" t="s">
        <v>337</v>
      </c>
      <c r="E76" s="19" t="s">
        <v>338</v>
      </c>
      <c r="F76" s="19" t="s">
        <v>339</v>
      </c>
      <c r="G76" s="19" t="s">
        <v>340</v>
      </c>
      <c r="H76" s="26" t="s">
        <v>655</v>
      </c>
      <c r="I76" s="21"/>
      <c r="J76" s="20" t="s">
        <v>550</v>
      </c>
      <c r="K76" s="21" t="s">
        <v>31</v>
      </c>
      <c r="L76" s="26" t="s">
        <v>683</v>
      </c>
      <c r="M76" s="21" t="s">
        <v>32</v>
      </c>
      <c r="N76" s="40" t="s">
        <v>702</v>
      </c>
      <c r="O76" s="21" t="s">
        <v>32</v>
      </c>
      <c r="P76" s="40" t="s">
        <v>704</v>
      </c>
      <c r="Q76" s="21" t="s">
        <v>32</v>
      </c>
      <c r="R76" s="40" t="s">
        <v>728</v>
      </c>
      <c r="S76" s="21" t="s">
        <v>33</v>
      </c>
      <c r="T76" s="40" t="s">
        <v>726</v>
      </c>
      <c r="U76" s="21" t="s">
        <v>32</v>
      </c>
      <c r="V76" s="40" t="s">
        <v>707</v>
      </c>
    </row>
    <row r="77" spans="1:22" ht="42" customHeight="1" x14ac:dyDescent="0.2">
      <c r="A77" s="21"/>
      <c r="B77" s="21"/>
      <c r="C77" s="21"/>
      <c r="D77" s="19" t="s">
        <v>341</v>
      </c>
      <c r="E77" s="19" t="s">
        <v>342</v>
      </c>
      <c r="F77" s="19" t="s">
        <v>343</v>
      </c>
      <c r="G77" s="19" t="s">
        <v>344</v>
      </c>
      <c r="H77" s="26" t="s">
        <v>656</v>
      </c>
      <c r="I77" s="21"/>
      <c r="J77" s="20" t="s">
        <v>551</v>
      </c>
      <c r="K77" s="21" t="s">
        <v>31</v>
      </c>
      <c r="L77" s="26" t="s">
        <v>683</v>
      </c>
      <c r="M77" s="21" t="s">
        <v>32</v>
      </c>
      <c r="N77" s="40" t="s">
        <v>702</v>
      </c>
      <c r="O77" s="21" t="s">
        <v>32</v>
      </c>
      <c r="P77" s="40" t="s">
        <v>704</v>
      </c>
      <c r="Q77" s="21" t="s">
        <v>32</v>
      </c>
      <c r="R77" s="40" t="s">
        <v>728</v>
      </c>
      <c r="S77" s="21" t="s">
        <v>33</v>
      </c>
      <c r="T77" s="40" t="s">
        <v>726</v>
      </c>
      <c r="U77" s="21" t="s">
        <v>32</v>
      </c>
      <c r="V77" s="40" t="s">
        <v>707</v>
      </c>
    </row>
    <row r="78" spans="1:22" ht="42" customHeight="1" x14ac:dyDescent="0.2">
      <c r="A78" s="21"/>
      <c r="B78" s="21"/>
      <c r="C78" s="21"/>
      <c r="D78" s="19" t="s">
        <v>345</v>
      </c>
      <c r="E78" s="19" t="s">
        <v>346</v>
      </c>
      <c r="F78" s="19" t="s">
        <v>347</v>
      </c>
      <c r="G78" s="19" t="s">
        <v>348</v>
      </c>
      <c r="H78" s="26" t="s">
        <v>657</v>
      </c>
      <c r="I78" s="21"/>
      <c r="J78" s="20" t="s">
        <v>552</v>
      </c>
      <c r="K78" s="21" t="s">
        <v>31</v>
      </c>
      <c r="L78" s="26" t="s">
        <v>683</v>
      </c>
      <c r="M78" s="21" t="s">
        <v>32</v>
      </c>
      <c r="N78" s="40" t="s">
        <v>702</v>
      </c>
      <c r="O78" s="21" t="s">
        <v>32</v>
      </c>
      <c r="P78" s="40" t="s">
        <v>704</v>
      </c>
      <c r="Q78" s="21" t="s">
        <v>32</v>
      </c>
      <c r="R78" s="40" t="s">
        <v>728</v>
      </c>
      <c r="S78" s="21" t="s">
        <v>33</v>
      </c>
      <c r="T78" s="40" t="s">
        <v>726</v>
      </c>
      <c r="U78" s="21" t="s">
        <v>32</v>
      </c>
      <c r="V78" s="40" t="s">
        <v>707</v>
      </c>
    </row>
    <row r="79" spans="1:22" ht="42" customHeight="1" x14ac:dyDescent="0.2">
      <c r="A79" s="21"/>
      <c r="B79" s="21"/>
      <c r="C79" s="21"/>
      <c r="D79" s="19" t="s">
        <v>349</v>
      </c>
      <c r="E79" s="19" t="s">
        <v>350</v>
      </c>
      <c r="F79" s="19" t="s">
        <v>351</v>
      </c>
      <c r="G79" s="19" t="s">
        <v>352</v>
      </c>
      <c r="H79" s="26" t="s">
        <v>658</v>
      </c>
      <c r="I79" s="21"/>
      <c r="J79" s="20" t="s">
        <v>553</v>
      </c>
      <c r="K79" s="21" t="s">
        <v>31</v>
      </c>
      <c r="L79" s="26" t="s">
        <v>683</v>
      </c>
      <c r="M79" s="21" t="s">
        <v>32</v>
      </c>
      <c r="N79" s="40" t="s">
        <v>702</v>
      </c>
      <c r="O79" s="21" t="s">
        <v>32</v>
      </c>
      <c r="P79" s="40" t="s">
        <v>704</v>
      </c>
      <c r="Q79" s="21" t="s">
        <v>32</v>
      </c>
      <c r="R79" s="40" t="s">
        <v>728</v>
      </c>
      <c r="S79" s="21" t="s">
        <v>33</v>
      </c>
      <c r="T79" s="40" t="s">
        <v>726</v>
      </c>
      <c r="U79" s="21" t="s">
        <v>32</v>
      </c>
      <c r="V79" s="40" t="s">
        <v>707</v>
      </c>
    </row>
    <row r="80" spans="1:22" ht="42" customHeight="1" x14ac:dyDescent="0.2">
      <c r="A80" s="21"/>
      <c r="B80" s="21"/>
      <c r="C80" s="21"/>
      <c r="D80" s="19" t="s">
        <v>353</v>
      </c>
      <c r="E80" s="19" t="s">
        <v>354</v>
      </c>
      <c r="F80" s="19" t="s">
        <v>355</v>
      </c>
      <c r="G80" s="19" t="s">
        <v>356</v>
      </c>
      <c r="H80" s="26" t="s">
        <v>659</v>
      </c>
      <c r="I80" s="21"/>
      <c r="J80" s="20" t="s">
        <v>554</v>
      </c>
      <c r="K80" s="21" t="s">
        <v>31</v>
      </c>
      <c r="L80" s="26" t="s">
        <v>683</v>
      </c>
      <c r="M80" s="21" t="s">
        <v>32</v>
      </c>
      <c r="N80" s="40" t="s">
        <v>702</v>
      </c>
      <c r="O80" s="21" t="s">
        <v>32</v>
      </c>
      <c r="P80" s="40" t="s">
        <v>704</v>
      </c>
      <c r="Q80" s="21" t="s">
        <v>32</v>
      </c>
      <c r="R80" s="40" t="s">
        <v>728</v>
      </c>
      <c r="S80" s="21" t="s">
        <v>33</v>
      </c>
      <c r="T80" s="40" t="s">
        <v>726</v>
      </c>
      <c r="U80" s="21" t="s">
        <v>32</v>
      </c>
      <c r="V80" s="40" t="s">
        <v>707</v>
      </c>
    </row>
    <row r="81" spans="1:22" ht="42" customHeight="1" x14ac:dyDescent="0.2">
      <c r="A81" s="21"/>
      <c r="B81" s="21"/>
      <c r="C81" s="21"/>
      <c r="D81" s="19" t="s">
        <v>357</v>
      </c>
      <c r="E81" s="19" t="s">
        <v>358</v>
      </c>
      <c r="F81" s="19" t="s">
        <v>359</v>
      </c>
      <c r="G81" s="19" t="s">
        <v>360</v>
      </c>
      <c r="H81" s="26" t="s">
        <v>660</v>
      </c>
      <c r="I81" s="21"/>
      <c r="J81" s="20" t="s">
        <v>555</v>
      </c>
      <c r="K81" s="21" t="s">
        <v>42</v>
      </c>
      <c r="L81" s="26" t="s">
        <v>695</v>
      </c>
      <c r="M81" s="21" t="s">
        <v>43</v>
      </c>
      <c r="N81" s="40" t="s">
        <v>703</v>
      </c>
      <c r="O81" s="21" t="s">
        <v>32</v>
      </c>
      <c r="P81" s="40" t="s">
        <v>704</v>
      </c>
      <c r="Q81" s="21" t="s">
        <v>43</v>
      </c>
      <c r="R81" s="40" t="s">
        <v>729</v>
      </c>
      <c r="S81" s="21" t="s">
        <v>44</v>
      </c>
      <c r="T81" s="40" t="s">
        <v>727</v>
      </c>
      <c r="U81" s="21" t="s">
        <v>43</v>
      </c>
      <c r="V81" s="40" t="s">
        <v>719</v>
      </c>
    </row>
    <row r="82" spans="1:22" ht="42" customHeight="1" x14ac:dyDescent="0.2">
      <c r="A82" s="21"/>
      <c r="B82" s="21"/>
      <c r="C82" s="21"/>
      <c r="D82" s="19" t="s">
        <v>361</v>
      </c>
      <c r="E82" s="19" t="s">
        <v>362</v>
      </c>
      <c r="F82" s="19" t="s">
        <v>363</v>
      </c>
      <c r="G82" s="19" t="s">
        <v>364</v>
      </c>
      <c r="H82" s="26" t="s">
        <v>661</v>
      </c>
      <c r="I82" s="21"/>
      <c r="J82" s="20" t="s">
        <v>556</v>
      </c>
      <c r="K82" s="21" t="s">
        <v>31</v>
      </c>
      <c r="L82" s="26" t="s">
        <v>682</v>
      </c>
      <c r="M82" s="21" t="s">
        <v>32</v>
      </c>
      <c r="N82" s="40" t="s">
        <v>702</v>
      </c>
      <c r="O82" s="21" t="s">
        <v>32</v>
      </c>
      <c r="P82" s="40" t="s">
        <v>704</v>
      </c>
      <c r="Q82" s="21" t="s">
        <v>32</v>
      </c>
      <c r="R82" s="40" t="s">
        <v>728</v>
      </c>
      <c r="S82" s="21" t="s">
        <v>33</v>
      </c>
      <c r="T82" s="40" t="s">
        <v>726</v>
      </c>
      <c r="U82" s="21" t="s">
        <v>32</v>
      </c>
      <c r="V82" s="40" t="s">
        <v>706</v>
      </c>
    </row>
    <row r="83" spans="1:22" ht="42" customHeight="1" x14ac:dyDescent="0.2">
      <c r="A83" s="18" t="s">
        <v>365</v>
      </c>
      <c r="B83" s="18" t="s">
        <v>366</v>
      </c>
      <c r="C83" s="18" t="s">
        <v>367</v>
      </c>
      <c r="D83" s="19" t="s">
        <v>368</v>
      </c>
      <c r="E83" s="19" t="s">
        <v>369</v>
      </c>
      <c r="F83" s="19" t="s">
        <v>47</v>
      </c>
      <c r="G83" s="19" t="s">
        <v>48</v>
      </c>
      <c r="H83" s="26" t="s">
        <v>662</v>
      </c>
      <c r="I83" s="21"/>
      <c r="J83" s="20" t="s">
        <v>557</v>
      </c>
      <c r="K83" s="21" t="s">
        <v>31</v>
      </c>
      <c r="L83" s="26" t="s">
        <v>682</v>
      </c>
      <c r="M83" s="21" t="s">
        <v>32</v>
      </c>
      <c r="N83" s="40" t="s">
        <v>702</v>
      </c>
      <c r="O83" s="21" t="s">
        <v>32</v>
      </c>
      <c r="P83" s="40" t="s">
        <v>704</v>
      </c>
      <c r="Q83" s="21" t="s">
        <v>32</v>
      </c>
      <c r="R83" s="40" t="s">
        <v>728</v>
      </c>
      <c r="S83" s="21" t="s">
        <v>33</v>
      </c>
      <c r="T83" s="40" t="s">
        <v>726</v>
      </c>
      <c r="U83" s="21" t="s">
        <v>32</v>
      </c>
      <c r="V83" s="40" t="s">
        <v>706</v>
      </c>
    </row>
    <row r="84" spans="1:22" ht="42" customHeight="1" x14ac:dyDescent="0.2">
      <c r="A84" s="21"/>
      <c r="B84" s="21"/>
      <c r="C84" s="21"/>
      <c r="D84" s="19" t="s">
        <v>370</v>
      </c>
      <c r="E84" s="19" t="s">
        <v>371</v>
      </c>
      <c r="F84" s="19" t="s">
        <v>372</v>
      </c>
      <c r="G84" s="19" t="s">
        <v>373</v>
      </c>
      <c r="H84" s="26" t="s">
        <v>663</v>
      </c>
      <c r="I84" s="21"/>
      <c r="J84" s="20" t="s">
        <v>558</v>
      </c>
      <c r="K84" s="21" t="s">
        <v>31</v>
      </c>
      <c r="L84" s="26" t="s">
        <v>682</v>
      </c>
      <c r="M84" s="21" t="s">
        <v>32</v>
      </c>
      <c r="N84" s="40" t="s">
        <v>702</v>
      </c>
      <c r="O84" s="21" t="s">
        <v>32</v>
      </c>
      <c r="P84" s="40" t="s">
        <v>704</v>
      </c>
      <c r="Q84" s="21" t="s">
        <v>32</v>
      </c>
      <c r="R84" s="40" t="s">
        <v>728</v>
      </c>
      <c r="S84" s="21" t="s">
        <v>33</v>
      </c>
      <c r="T84" s="40" t="s">
        <v>726</v>
      </c>
      <c r="U84" s="21" t="s">
        <v>32</v>
      </c>
      <c r="V84" s="40" t="s">
        <v>706</v>
      </c>
    </row>
    <row r="85" spans="1:22" ht="42" customHeight="1" x14ac:dyDescent="0.2">
      <c r="A85" s="21"/>
      <c r="B85" s="21"/>
      <c r="C85" s="21"/>
      <c r="D85" s="19" t="s">
        <v>374</v>
      </c>
      <c r="E85" s="19" t="s">
        <v>375</v>
      </c>
      <c r="F85" s="19" t="s">
        <v>376</v>
      </c>
      <c r="G85" s="19" t="s">
        <v>377</v>
      </c>
      <c r="H85" s="26" t="s">
        <v>664</v>
      </c>
      <c r="I85" s="21"/>
      <c r="J85" s="20" t="s">
        <v>559</v>
      </c>
      <c r="K85" s="21" t="s">
        <v>31</v>
      </c>
      <c r="L85" s="26" t="s">
        <v>682</v>
      </c>
      <c r="M85" s="21" t="s">
        <v>32</v>
      </c>
      <c r="N85" s="40" t="s">
        <v>702</v>
      </c>
      <c r="O85" s="21" t="s">
        <v>32</v>
      </c>
      <c r="P85" s="40" t="s">
        <v>704</v>
      </c>
      <c r="Q85" s="21" t="s">
        <v>32</v>
      </c>
      <c r="R85" s="40" t="s">
        <v>728</v>
      </c>
      <c r="S85" s="21" t="s">
        <v>33</v>
      </c>
      <c r="T85" s="40" t="s">
        <v>726</v>
      </c>
      <c r="U85" s="21" t="s">
        <v>32</v>
      </c>
      <c r="V85" s="40" t="s">
        <v>706</v>
      </c>
    </row>
    <row r="86" spans="1:22" ht="42" customHeight="1" x14ac:dyDescent="0.2">
      <c r="A86" s="21"/>
      <c r="B86" s="21"/>
      <c r="C86" s="21"/>
      <c r="D86" s="19" t="s">
        <v>378</v>
      </c>
      <c r="E86" s="19" t="s">
        <v>379</v>
      </c>
      <c r="F86" s="19" t="s">
        <v>380</v>
      </c>
      <c r="G86" s="19" t="s">
        <v>381</v>
      </c>
      <c r="H86" s="26" t="s">
        <v>665</v>
      </c>
      <c r="I86" s="21"/>
      <c r="J86" s="20" t="s">
        <v>560</v>
      </c>
      <c r="K86" s="21" t="s">
        <v>31</v>
      </c>
      <c r="L86" s="26" t="s">
        <v>682</v>
      </c>
      <c r="M86" s="21" t="s">
        <v>32</v>
      </c>
      <c r="N86" s="40" t="s">
        <v>702</v>
      </c>
      <c r="O86" s="21" t="s">
        <v>32</v>
      </c>
      <c r="P86" s="40" t="s">
        <v>704</v>
      </c>
      <c r="Q86" s="21" t="s">
        <v>32</v>
      </c>
      <c r="R86" s="40" t="s">
        <v>728</v>
      </c>
      <c r="S86" s="21" t="s">
        <v>33</v>
      </c>
      <c r="T86" s="40" t="s">
        <v>726</v>
      </c>
      <c r="U86" s="21" t="s">
        <v>32</v>
      </c>
      <c r="V86" s="40" t="s">
        <v>706</v>
      </c>
    </row>
    <row r="87" spans="1:22" ht="42" customHeight="1" x14ac:dyDescent="0.2">
      <c r="A87" s="21"/>
      <c r="B87" s="21"/>
      <c r="C87" s="21"/>
      <c r="D87" s="19" t="s">
        <v>382</v>
      </c>
      <c r="E87" s="19" t="s">
        <v>383</v>
      </c>
      <c r="F87" s="19" t="s">
        <v>112</v>
      </c>
      <c r="G87" s="19" t="s">
        <v>384</v>
      </c>
      <c r="H87" s="26" t="s">
        <v>666</v>
      </c>
      <c r="I87" s="21"/>
      <c r="J87" s="20" t="s">
        <v>561</v>
      </c>
      <c r="K87" s="21" t="s">
        <v>31</v>
      </c>
      <c r="L87" s="26" t="s">
        <v>685</v>
      </c>
      <c r="M87" s="21" t="s">
        <v>32</v>
      </c>
      <c r="N87" s="40" t="s">
        <v>702</v>
      </c>
      <c r="O87" s="21" t="s">
        <v>32</v>
      </c>
      <c r="P87" s="40" t="s">
        <v>704</v>
      </c>
      <c r="Q87" s="21" t="s">
        <v>32</v>
      </c>
      <c r="R87" s="40" t="s">
        <v>728</v>
      </c>
      <c r="S87" s="21" t="s">
        <v>33</v>
      </c>
      <c r="T87" s="40" t="s">
        <v>726</v>
      </c>
      <c r="U87" s="21" t="s">
        <v>32</v>
      </c>
      <c r="V87" s="40" t="s">
        <v>709</v>
      </c>
    </row>
    <row r="88" spans="1:22" ht="42" customHeight="1" x14ac:dyDescent="0.2">
      <c r="A88" s="21"/>
      <c r="B88" s="21"/>
      <c r="C88" s="21"/>
      <c r="D88" s="19" t="s">
        <v>385</v>
      </c>
      <c r="E88" s="19" t="s">
        <v>386</v>
      </c>
      <c r="F88" s="19" t="s">
        <v>387</v>
      </c>
      <c r="G88" s="19" t="s">
        <v>388</v>
      </c>
      <c r="H88" s="26" t="s">
        <v>667</v>
      </c>
      <c r="I88" s="21"/>
      <c r="J88" s="20" t="s">
        <v>562</v>
      </c>
      <c r="K88" s="21" t="s">
        <v>42</v>
      </c>
      <c r="L88" s="26" t="s">
        <v>696</v>
      </c>
      <c r="M88" s="21" t="s">
        <v>43</v>
      </c>
      <c r="N88" s="40" t="s">
        <v>703</v>
      </c>
      <c r="O88" s="21" t="s">
        <v>32</v>
      </c>
      <c r="P88" s="40" t="s">
        <v>704</v>
      </c>
      <c r="Q88" s="21" t="s">
        <v>43</v>
      </c>
      <c r="R88" s="40" t="s">
        <v>729</v>
      </c>
      <c r="S88" s="21" t="s">
        <v>44</v>
      </c>
      <c r="T88" s="40" t="s">
        <v>727</v>
      </c>
      <c r="U88" s="21" t="s">
        <v>43</v>
      </c>
      <c r="V88" s="40" t="s">
        <v>720</v>
      </c>
    </row>
    <row r="89" spans="1:22" ht="42" customHeight="1" x14ac:dyDescent="0.2">
      <c r="A89" s="21"/>
      <c r="B89" s="21"/>
      <c r="C89" s="21"/>
      <c r="D89" s="19" t="s">
        <v>389</v>
      </c>
      <c r="E89" s="19" t="s">
        <v>390</v>
      </c>
      <c r="F89" s="19" t="s">
        <v>391</v>
      </c>
      <c r="G89" s="19" t="s">
        <v>392</v>
      </c>
      <c r="H89" s="26" t="s">
        <v>668</v>
      </c>
      <c r="I89" s="21"/>
      <c r="J89" s="20" t="s">
        <v>563</v>
      </c>
      <c r="K89" s="21" t="s">
        <v>31</v>
      </c>
      <c r="L89" s="26" t="s">
        <v>683</v>
      </c>
      <c r="M89" s="21" t="s">
        <v>32</v>
      </c>
      <c r="N89" s="40" t="s">
        <v>702</v>
      </c>
      <c r="O89" s="21" t="s">
        <v>32</v>
      </c>
      <c r="P89" s="40" t="s">
        <v>704</v>
      </c>
      <c r="Q89" s="21" t="s">
        <v>32</v>
      </c>
      <c r="R89" s="40" t="s">
        <v>728</v>
      </c>
      <c r="S89" s="21" t="s">
        <v>33</v>
      </c>
      <c r="T89" s="40" t="s">
        <v>726</v>
      </c>
      <c r="U89" s="21" t="s">
        <v>32</v>
      </c>
      <c r="V89" s="40" t="s">
        <v>707</v>
      </c>
    </row>
    <row r="90" spans="1:22" ht="42" customHeight="1" x14ac:dyDescent="0.2">
      <c r="A90" s="21"/>
      <c r="B90" s="21"/>
      <c r="C90" s="21"/>
      <c r="D90" s="19" t="s">
        <v>393</v>
      </c>
      <c r="E90" s="19" t="s">
        <v>394</v>
      </c>
      <c r="F90" s="19" t="s">
        <v>395</v>
      </c>
      <c r="G90" s="19" t="s">
        <v>396</v>
      </c>
      <c r="H90" s="26" t="s">
        <v>669</v>
      </c>
      <c r="I90" s="21"/>
      <c r="J90" s="20" t="s">
        <v>564</v>
      </c>
      <c r="K90" s="21" t="s">
        <v>31</v>
      </c>
      <c r="L90" s="26" t="s">
        <v>685</v>
      </c>
      <c r="M90" s="21" t="s">
        <v>32</v>
      </c>
      <c r="N90" s="40" t="s">
        <v>702</v>
      </c>
      <c r="O90" s="21" t="s">
        <v>32</v>
      </c>
      <c r="P90" s="40" t="s">
        <v>704</v>
      </c>
      <c r="Q90" s="21" t="s">
        <v>32</v>
      </c>
      <c r="R90" s="40" t="s">
        <v>728</v>
      </c>
      <c r="S90" s="21" t="s">
        <v>33</v>
      </c>
      <c r="T90" s="40" t="s">
        <v>726</v>
      </c>
      <c r="U90" s="21" t="s">
        <v>32</v>
      </c>
      <c r="V90" s="40" t="s">
        <v>709</v>
      </c>
    </row>
    <row r="91" spans="1:22" ht="42" customHeight="1" x14ac:dyDescent="0.2">
      <c r="A91" s="24"/>
      <c r="B91" s="24"/>
      <c r="C91" s="24"/>
      <c r="D91" s="23" t="s">
        <v>397</v>
      </c>
      <c r="E91" s="23" t="s">
        <v>398</v>
      </c>
      <c r="F91" s="23" t="s">
        <v>399</v>
      </c>
      <c r="G91" s="23" t="s">
        <v>400</v>
      </c>
      <c r="H91" s="26" t="s">
        <v>670</v>
      </c>
      <c r="I91" s="24"/>
      <c r="J91" s="20" t="s">
        <v>565</v>
      </c>
      <c r="K91" s="24" t="s">
        <v>31</v>
      </c>
      <c r="L91" s="26" t="s">
        <v>684</v>
      </c>
      <c r="M91" s="21" t="s">
        <v>32</v>
      </c>
      <c r="N91" s="40" t="s">
        <v>702</v>
      </c>
      <c r="O91" s="24" t="s">
        <v>32</v>
      </c>
      <c r="P91" s="40" t="s">
        <v>704</v>
      </c>
      <c r="Q91" s="24" t="s">
        <v>32</v>
      </c>
      <c r="R91" s="40" t="s">
        <v>728</v>
      </c>
      <c r="S91" s="21" t="s">
        <v>33</v>
      </c>
      <c r="T91" s="40" t="s">
        <v>726</v>
      </c>
      <c r="U91" s="21" t="s">
        <v>32</v>
      </c>
      <c r="V91" s="40" t="s">
        <v>708</v>
      </c>
    </row>
    <row r="92" spans="1:22" ht="42" customHeight="1" x14ac:dyDescent="0.2">
      <c r="A92" s="25"/>
      <c r="B92" s="25"/>
      <c r="C92" s="25"/>
      <c r="D92" s="26" t="s">
        <v>401</v>
      </c>
      <c r="E92" s="26" t="s">
        <v>402</v>
      </c>
      <c r="F92" s="29" t="s">
        <v>579</v>
      </c>
      <c r="G92" s="29" t="s">
        <v>578</v>
      </c>
      <c r="H92" s="26" t="s">
        <v>671</v>
      </c>
      <c r="I92" s="25"/>
      <c r="J92" s="20" t="s">
        <v>566</v>
      </c>
      <c r="K92" s="25" t="s">
        <v>31</v>
      </c>
      <c r="L92" s="26" t="s">
        <v>682</v>
      </c>
      <c r="M92" s="21" t="s">
        <v>32</v>
      </c>
      <c r="N92" s="40" t="s">
        <v>702</v>
      </c>
      <c r="O92" s="25" t="s">
        <v>32</v>
      </c>
      <c r="P92" s="40" t="s">
        <v>704</v>
      </c>
      <c r="Q92" s="24" t="s">
        <v>32</v>
      </c>
      <c r="R92" s="40" t="s">
        <v>728</v>
      </c>
      <c r="S92" s="21" t="s">
        <v>33</v>
      </c>
      <c r="T92" s="40" t="s">
        <v>726</v>
      </c>
      <c r="U92" s="21" t="s">
        <v>32</v>
      </c>
      <c r="V92" s="40" t="s">
        <v>706</v>
      </c>
    </row>
    <row r="93" spans="1:22" ht="54" customHeight="1" x14ac:dyDescent="0.2">
      <c r="A93" s="27" t="s">
        <v>403</v>
      </c>
      <c r="B93" s="30" t="s">
        <v>404</v>
      </c>
      <c r="C93" s="30" t="s">
        <v>405</v>
      </c>
      <c r="D93" s="28" t="s">
        <v>406</v>
      </c>
      <c r="E93" s="28" t="s">
        <v>407</v>
      </c>
      <c r="F93" s="28" t="s">
        <v>408</v>
      </c>
      <c r="G93" s="28" t="s">
        <v>409</v>
      </c>
      <c r="H93" s="26" t="s">
        <v>672</v>
      </c>
      <c r="I93" s="27"/>
      <c r="J93" s="20" t="s">
        <v>567</v>
      </c>
      <c r="K93" s="27" t="s">
        <v>42</v>
      </c>
      <c r="L93" s="26" t="s">
        <v>685</v>
      </c>
      <c r="M93" s="27" t="s">
        <v>43</v>
      </c>
      <c r="N93" s="40" t="s">
        <v>703</v>
      </c>
      <c r="O93" s="27" t="s">
        <v>32</v>
      </c>
      <c r="P93" s="40" t="s">
        <v>704</v>
      </c>
      <c r="Q93" s="27" t="s">
        <v>43</v>
      </c>
      <c r="R93" s="40" t="s">
        <v>729</v>
      </c>
      <c r="S93" s="27" t="s">
        <v>44</v>
      </c>
      <c r="T93" s="40" t="s">
        <v>727</v>
      </c>
      <c r="U93" s="27" t="s">
        <v>43</v>
      </c>
      <c r="V93" s="40" t="s">
        <v>709</v>
      </c>
    </row>
    <row r="94" spans="1:22" ht="42" customHeight="1" x14ac:dyDescent="0.2">
      <c r="A94" s="21"/>
      <c r="B94" s="21"/>
      <c r="C94" s="21"/>
      <c r="D94" s="19" t="s">
        <v>410</v>
      </c>
      <c r="E94" s="19" t="s">
        <v>411</v>
      </c>
      <c r="F94" s="19" t="s">
        <v>412</v>
      </c>
      <c r="G94" s="19" t="s">
        <v>413</v>
      </c>
      <c r="H94" s="26" t="s">
        <v>673</v>
      </c>
      <c r="I94" s="21"/>
      <c r="J94" s="20" t="s">
        <v>568</v>
      </c>
      <c r="K94" s="21" t="s">
        <v>31</v>
      </c>
      <c r="L94" s="26" t="s">
        <v>683</v>
      </c>
      <c r="M94" s="21" t="s">
        <v>32</v>
      </c>
      <c r="N94" s="40" t="s">
        <v>702</v>
      </c>
      <c r="O94" s="21" t="s">
        <v>32</v>
      </c>
      <c r="P94" s="40" t="s">
        <v>704</v>
      </c>
      <c r="Q94" s="21" t="s">
        <v>32</v>
      </c>
      <c r="R94" s="40" t="s">
        <v>728</v>
      </c>
      <c r="S94" s="21" t="s">
        <v>33</v>
      </c>
      <c r="T94" s="40" t="s">
        <v>726</v>
      </c>
      <c r="U94" s="21" t="s">
        <v>32</v>
      </c>
      <c r="V94" s="40" t="s">
        <v>707</v>
      </c>
    </row>
    <row r="95" spans="1:22" ht="42" customHeight="1" x14ac:dyDescent="0.2">
      <c r="A95" s="21"/>
      <c r="B95" s="21"/>
      <c r="C95" s="21"/>
      <c r="D95" s="19" t="s">
        <v>414</v>
      </c>
      <c r="E95" s="19" t="s">
        <v>415</v>
      </c>
      <c r="F95" s="19" t="s">
        <v>416</v>
      </c>
      <c r="G95" s="19" t="s">
        <v>417</v>
      </c>
      <c r="H95" s="26" t="s">
        <v>674</v>
      </c>
      <c r="I95" s="21"/>
      <c r="J95" s="20" t="s">
        <v>569</v>
      </c>
      <c r="K95" s="21" t="s">
        <v>31</v>
      </c>
      <c r="L95" s="26" t="s">
        <v>683</v>
      </c>
      <c r="M95" s="21" t="s">
        <v>32</v>
      </c>
      <c r="N95" s="40" t="s">
        <v>702</v>
      </c>
      <c r="O95" s="21" t="s">
        <v>32</v>
      </c>
      <c r="P95" s="40" t="s">
        <v>704</v>
      </c>
      <c r="Q95" s="21" t="s">
        <v>32</v>
      </c>
      <c r="R95" s="40" t="s">
        <v>728</v>
      </c>
      <c r="S95" s="21" t="s">
        <v>33</v>
      </c>
      <c r="T95" s="40" t="s">
        <v>726</v>
      </c>
      <c r="U95" s="21" t="s">
        <v>32</v>
      </c>
      <c r="V95" s="40" t="s">
        <v>707</v>
      </c>
    </row>
    <row r="96" spans="1:22" ht="42" customHeight="1" x14ac:dyDescent="0.2">
      <c r="A96" s="21"/>
      <c r="B96" s="21"/>
      <c r="C96" s="21"/>
      <c r="D96" s="19" t="s">
        <v>418</v>
      </c>
      <c r="E96" s="19" t="s">
        <v>419</v>
      </c>
      <c r="F96" s="19" t="s">
        <v>420</v>
      </c>
      <c r="G96" s="19" t="s">
        <v>421</v>
      </c>
      <c r="H96" s="26" t="s">
        <v>675</v>
      </c>
      <c r="I96" s="21"/>
      <c r="J96" s="20" t="s">
        <v>570</v>
      </c>
      <c r="K96" s="21" t="s">
        <v>31</v>
      </c>
      <c r="L96" s="26" t="s">
        <v>685</v>
      </c>
      <c r="M96" s="21" t="s">
        <v>32</v>
      </c>
      <c r="N96" s="40" t="s">
        <v>702</v>
      </c>
      <c r="O96" s="21" t="s">
        <v>32</v>
      </c>
      <c r="P96" s="40" t="s">
        <v>704</v>
      </c>
      <c r="Q96" s="21" t="s">
        <v>32</v>
      </c>
      <c r="R96" s="40" t="s">
        <v>728</v>
      </c>
      <c r="S96" s="21" t="s">
        <v>33</v>
      </c>
      <c r="T96" s="40" t="s">
        <v>726</v>
      </c>
      <c r="U96" s="21" t="s">
        <v>32</v>
      </c>
      <c r="V96" s="40" t="s">
        <v>709</v>
      </c>
    </row>
    <row r="97" spans="1:22" ht="42" customHeight="1" x14ac:dyDescent="0.2">
      <c r="A97" s="21"/>
      <c r="B97" s="21"/>
      <c r="C97" s="21"/>
      <c r="D97" s="19" t="s">
        <v>422</v>
      </c>
      <c r="E97" s="19" t="s">
        <v>423</v>
      </c>
      <c r="F97" s="19" t="s">
        <v>424</v>
      </c>
      <c r="G97" s="19" t="s">
        <v>425</v>
      </c>
      <c r="H97" s="26" t="s">
        <v>676</v>
      </c>
      <c r="I97" s="21"/>
      <c r="J97" s="20" t="s">
        <v>571</v>
      </c>
      <c r="K97" s="21" t="s">
        <v>31</v>
      </c>
      <c r="L97" s="26" t="s">
        <v>683</v>
      </c>
      <c r="M97" s="21" t="s">
        <v>32</v>
      </c>
      <c r="N97" s="40" t="s">
        <v>702</v>
      </c>
      <c r="O97" s="21" t="s">
        <v>32</v>
      </c>
      <c r="P97" s="40" t="s">
        <v>704</v>
      </c>
      <c r="Q97" s="21" t="s">
        <v>32</v>
      </c>
      <c r="R97" s="40" t="s">
        <v>728</v>
      </c>
      <c r="S97" s="21" t="s">
        <v>33</v>
      </c>
      <c r="T97" s="40" t="s">
        <v>726</v>
      </c>
      <c r="U97" s="21" t="s">
        <v>32</v>
      </c>
      <c r="V97" s="40" t="s">
        <v>707</v>
      </c>
    </row>
    <row r="98" spans="1:22" ht="42" customHeight="1" x14ac:dyDescent="0.2">
      <c r="A98" s="21"/>
      <c r="B98" s="21"/>
      <c r="C98" s="21"/>
      <c r="D98" s="19" t="s">
        <v>426</v>
      </c>
      <c r="E98" s="19" t="s">
        <v>427</v>
      </c>
      <c r="F98" s="19" t="s">
        <v>428</v>
      </c>
      <c r="G98" s="19" t="s">
        <v>429</v>
      </c>
      <c r="H98" s="26" t="s">
        <v>677</v>
      </c>
      <c r="I98" s="21"/>
      <c r="J98" s="20" t="s">
        <v>572</v>
      </c>
      <c r="K98" s="21" t="s">
        <v>42</v>
      </c>
      <c r="L98" s="26" t="s">
        <v>697</v>
      </c>
      <c r="M98" s="27" t="s">
        <v>43</v>
      </c>
      <c r="N98" s="40" t="s">
        <v>703</v>
      </c>
      <c r="O98" s="21" t="s">
        <v>32</v>
      </c>
      <c r="P98" s="40" t="s">
        <v>704</v>
      </c>
      <c r="Q98" s="44" t="s">
        <v>43</v>
      </c>
      <c r="R98" s="40" t="s">
        <v>729</v>
      </c>
      <c r="S98" s="27" t="s">
        <v>44</v>
      </c>
      <c r="T98" s="40" t="s">
        <v>727</v>
      </c>
      <c r="U98" s="44" t="s">
        <v>43</v>
      </c>
      <c r="V98" s="40" t="s">
        <v>721</v>
      </c>
    </row>
    <row r="99" spans="1:22" ht="42" customHeight="1" x14ac:dyDescent="0.2">
      <c r="A99" s="21"/>
      <c r="B99" s="21"/>
      <c r="C99" s="21"/>
      <c r="D99" s="19" t="s">
        <v>430</v>
      </c>
      <c r="E99" s="19" t="s">
        <v>431</v>
      </c>
      <c r="F99" s="19" t="s">
        <v>432</v>
      </c>
      <c r="G99" s="19" t="s">
        <v>433</v>
      </c>
      <c r="H99" s="26" t="s">
        <v>678</v>
      </c>
      <c r="I99" s="21"/>
      <c r="J99" s="20" t="s">
        <v>573</v>
      </c>
      <c r="K99" s="21" t="s">
        <v>42</v>
      </c>
      <c r="L99" s="26" t="s">
        <v>698</v>
      </c>
      <c r="M99" s="27" t="s">
        <v>43</v>
      </c>
      <c r="N99" s="40" t="s">
        <v>703</v>
      </c>
      <c r="O99" s="21" t="s">
        <v>32</v>
      </c>
      <c r="P99" s="40" t="s">
        <v>704</v>
      </c>
      <c r="Q99" s="44" t="s">
        <v>43</v>
      </c>
      <c r="R99" s="40" t="s">
        <v>729</v>
      </c>
      <c r="S99" s="27" t="s">
        <v>44</v>
      </c>
      <c r="T99" s="40" t="s">
        <v>727</v>
      </c>
      <c r="U99" s="44" t="s">
        <v>43</v>
      </c>
      <c r="V99" s="40" t="s">
        <v>722</v>
      </c>
    </row>
    <row r="100" spans="1:22" ht="42" customHeight="1" x14ac:dyDescent="0.2">
      <c r="A100" s="21"/>
      <c r="B100" s="21"/>
      <c r="C100" s="21"/>
      <c r="D100" s="19" t="s">
        <v>434</v>
      </c>
      <c r="E100" s="19" t="s">
        <v>435</v>
      </c>
      <c r="F100" s="19" t="s">
        <v>436</v>
      </c>
      <c r="G100" s="19" t="s">
        <v>437</v>
      </c>
      <c r="H100" s="26" t="s">
        <v>679</v>
      </c>
      <c r="I100" s="21"/>
      <c r="J100" s="20" t="s">
        <v>574</v>
      </c>
      <c r="K100" s="21" t="s">
        <v>42</v>
      </c>
      <c r="L100" s="26" t="s">
        <v>699</v>
      </c>
      <c r="M100" s="27" t="s">
        <v>43</v>
      </c>
      <c r="N100" s="40" t="s">
        <v>703</v>
      </c>
      <c r="O100" s="21" t="s">
        <v>32</v>
      </c>
      <c r="P100" s="40" t="s">
        <v>704</v>
      </c>
      <c r="Q100" s="44" t="s">
        <v>43</v>
      </c>
      <c r="R100" s="40" t="s">
        <v>729</v>
      </c>
      <c r="S100" s="27" t="s">
        <v>44</v>
      </c>
      <c r="T100" s="40" t="s">
        <v>727</v>
      </c>
      <c r="U100" s="44" t="s">
        <v>43</v>
      </c>
      <c r="V100" s="40" t="s">
        <v>723</v>
      </c>
    </row>
    <row r="101" spans="1:22" ht="42" customHeight="1" x14ac:dyDescent="0.2">
      <c r="A101" s="21"/>
      <c r="B101" s="21"/>
      <c r="C101" s="21"/>
      <c r="D101" s="19" t="s">
        <v>438</v>
      </c>
      <c r="E101" s="19" t="s">
        <v>439</v>
      </c>
      <c r="F101" s="19" t="s">
        <v>440</v>
      </c>
      <c r="G101" s="19" t="s">
        <v>441</v>
      </c>
      <c r="H101" s="26" t="s">
        <v>680</v>
      </c>
      <c r="I101" s="21"/>
      <c r="J101" s="20" t="s">
        <v>575</v>
      </c>
      <c r="K101" s="21" t="s">
        <v>42</v>
      </c>
      <c r="L101" s="26" t="s">
        <v>700</v>
      </c>
      <c r="M101" s="27" t="s">
        <v>43</v>
      </c>
      <c r="N101" s="40" t="s">
        <v>703</v>
      </c>
      <c r="O101" s="21" t="s">
        <v>32</v>
      </c>
      <c r="P101" s="40" t="s">
        <v>704</v>
      </c>
      <c r="Q101" s="44" t="s">
        <v>43</v>
      </c>
      <c r="R101" s="40" t="s">
        <v>729</v>
      </c>
      <c r="S101" s="27" t="s">
        <v>44</v>
      </c>
      <c r="T101" s="40" t="s">
        <v>727</v>
      </c>
      <c r="U101" s="44" t="s">
        <v>43</v>
      </c>
      <c r="V101" s="40" t="s">
        <v>724</v>
      </c>
    </row>
    <row r="102" spans="1:22" ht="69" customHeight="1" x14ac:dyDescent="0.2">
      <c r="A102" s="21"/>
      <c r="B102" s="21"/>
      <c r="C102" s="21"/>
      <c r="D102" s="19" t="s">
        <v>442</v>
      </c>
      <c r="E102" s="19" t="s">
        <v>443</v>
      </c>
      <c r="F102" s="19" t="s">
        <v>444</v>
      </c>
      <c r="G102" s="19" t="s">
        <v>445</v>
      </c>
      <c r="H102" s="26" t="s">
        <v>681</v>
      </c>
      <c r="I102" s="21"/>
      <c r="J102" s="20" t="s">
        <v>577</v>
      </c>
      <c r="K102" s="21" t="s">
        <v>42</v>
      </c>
      <c r="L102" s="26" t="s">
        <v>701</v>
      </c>
      <c r="M102" s="27" t="s">
        <v>43</v>
      </c>
      <c r="N102" s="40" t="s">
        <v>703</v>
      </c>
      <c r="O102" s="21" t="s">
        <v>32</v>
      </c>
      <c r="P102" s="40" t="s">
        <v>704</v>
      </c>
      <c r="Q102" s="44" t="s">
        <v>43</v>
      </c>
      <c r="R102" s="40" t="s">
        <v>729</v>
      </c>
      <c r="S102" s="27" t="s">
        <v>44</v>
      </c>
      <c r="T102" s="40" t="s">
        <v>727</v>
      </c>
      <c r="U102" s="44" t="s">
        <v>43</v>
      </c>
      <c r="V102" s="40" t="s">
        <v>725</v>
      </c>
    </row>
    <row r="103" spans="1:22" x14ac:dyDescent="0.2">
      <c r="H103" s="41"/>
      <c r="L103" s="40"/>
      <c r="N103" s="40"/>
      <c r="P103" s="40"/>
      <c r="R103" s="40"/>
      <c r="T103" s="40"/>
      <c r="V103" s="40"/>
    </row>
  </sheetData>
  <autoFilter ref="A2:V102" xr:uid="{00000000-0009-0000-0000-000000000000}"/>
  <mergeCells count="1">
    <mergeCell ref="M1:V1"/>
  </mergeCells>
  <conditionalFormatting sqref="K3:K102">
    <cfRule type="expression" dxfId="17" priority="13">
      <formula>K3="Yes"</formula>
    </cfRule>
    <cfRule type="expression" dxfId="16" priority="14">
      <formula>K3="Partial"</formula>
    </cfRule>
    <cfRule type="expression" dxfId="15" priority="15">
      <formula>K3="No"</formula>
    </cfRule>
  </conditionalFormatting>
  <conditionalFormatting sqref="M3:M102">
    <cfRule type="cellIs" dxfId="14" priority="16" operator="equal">
      <formula>"Strong"</formula>
    </cfRule>
    <cfRule type="cellIs" dxfId="13" priority="17" operator="equal">
      <formula>"Acceptable"</formula>
    </cfRule>
    <cfRule type="cellIs" dxfId="12" priority="18" operator="equal">
      <formula>"Weak"</formula>
    </cfRule>
  </conditionalFormatting>
  <conditionalFormatting sqref="O3:O102">
    <cfRule type="cellIs" dxfId="11" priority="19" operator="equal">
      <formula>"Strong"</formula>
    </cfRule>
    <cfRule type="cellIs" dxfId="10" priority="20" operator="equal">
      <formula>"Acceptable"</formula>
    </cfRule>
    <cfRule type="cellIs" dxfId="9" priority="21" operator="equal">
      <formula>"Weak"</formula>
    </cfRule>
  </conditionalFormatting>
  <conditionalFormatting sqref="Q3:Q97">
    <cfRule type="cellIs" dxfId="8" priority="1" operator="equal">
      <formula>"Strong"</formula>
    </cfRule>
    <cfRule type="cellIs" dxfId="7" priority="2" operator="equal">
      <formula>"Acceptable"</formula>
    </cfRule>
    <cfRule type="cellIs" dxfId="6" priority="3" operator="equal">
      <formula>"Weak"</formula>
    </cfRule>
  </conditionalFormatting>
  <conditionalFormatting sqref="S3:S102">
    <cfRule type="cellIs" dxfId="5" priority="28" operator="equal">
      <formula>"Low Risk"</formula>
    </cfRule>
    <cfRule type="cellIs" dxfId="4" priority="29" operator="equal">
      <formula>"Medium Risk"</formula>
    </cfRule>
    <cfRule type="cellIs" dxfId="3" priority="30" operator="equal">
      <formula>"High Risk"</formula>
    </cfRule>
  </conditionalFormatting>
  <conditionalFormatting sqref="U3:U97">
    <cfRule type="cellIs" dxfId="2" priority="7" operator="equal">
      <formula>"Strong"</formula>
    </cfRule>
    <cfRule type="cellIs" dxfId="1" priority="8" operator="equal">
      <formula>"Acceptable"</formula>
    </cfRule>
    <cfRule type="cellIs" dxfId="0" priority="9" operator="equal">
      <formula>"Weak"</formula>
    </cfRule>
  </conditionalFormatting>
  <dataValidations count="3">
    <dataValidation type="list" sqref="K3:K102" xr:uid="{00000000-0002-0000-0000-000000000000}">
      <formula1>"Yes,Partial,No"</formula1>
    </dataValidation>
    <dataValidation type="list" allowBlank="1" sqref="M3:M102 O3:O102 Q3:Q97 U3:U97" xr:uid="{00000000-0002-0000-0000-000001000000}">
      <formula1>"Strong,Acceptable,Weak"</formula1>
    </dataValidation>
    <dataValidation type="list" allowBlank="1" sqref="S3:S102" xr:uid="{00000000-0002-0000-0000-000005000000}">
      <formula1>"Low Risk,Medium Risk,High Risk"</formula1>
    </dataValidation>
  </dataValidations>
  <pageMargins left="0.7" right="0.7" top="0.75" bottom="0.75" header="0.3" footer="0.3"/>
  <pageSetup paperSize="9" orientation="portrait" horizontalDpi="0" verticalDpi="0"/>
  <headerFooter>
    <oddHeader>&amp;R&amp;"Aptos"&amp;11&amp;K000000 TUNI Luottamuksellinen - Confidential (3Y)&amp;1#_x000D_&amp;"Aptos Narrow"&amp;12&amp;K000000&amp;"Aptos"&amp;1 &amp;K000000 TUNI Luottamuksellinen - Confidential (3Y)#_x000D_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9"/>
  <sheetViews>
    <sheetView workbookViewId="0">
      <selection activeCell="N15" sqref="N15"/>
    </sheetView>
  </sheetViews>
  <sheetFormatPr baseColWidth="10" defaultColWidth="8.83203125" defaultRowHeight="16" x14ac:dyDescent="0.2"/>
  <cols>
    <col min="1" max="1" width="9.83203125" customWidth="1"/>
    <col min="2" max="2" width="12.83203125" customWidth="1"/>
    <col min="3" max="3" width="17.1640625" customWidth="1"/>
    <col min="4" max="4" width="38.6640625" customWidth="1"/>
  </cols>
  <sheetData>
    <row r="1" spans="1:13" x14ac:dyDescent="0.2">
      <c r="A1" t="s">
        <v>794</v>
      </c>
    </row>
    <row r="2" spans="1:13" x14ac:dyDescent="0.2">
      <c r="A2" s="3" t="s">
        <v>12</v>
      </c>
      <c r="B2" s="3" t="s">
        <v>446</v>
      </c>
      <c r="C2" s="3" t="s">
        <v>447</v>
      </c>
      <c r="D2" s="62"/>
    </row>
    <row r="3" spans="1:13" x14ac:dyDescent="0.2">
      <c r="A3" t="s">
        <v>31</v>
      </c>
      <c r="B3">
        <f>COUNTIF('Evaluation by researcher'!$K$3:$K$102,A3)</f>
        <v>83</v>
      </c>
      <c r="C3" s="4">
        <f>B3/COUNTA('Evaluation by researcher'!$K$3:$K$102)</f>
        <v>0.83</v>
      </c>
    </row>
    <row r="4" spans="1:13" x14ac:dyDescent="0.2">
      <c r="A4" t="s">
        <v>42</v>
      </c>
      <c r="B4">
        <f>COUNTIF('Evaluation by researcher'!$K$3:$K$102,A4)</f>
        <v>17</v>
      </c>
      <c r="C4" s="4">
        <f>B4/COUNTA('Evaluation by researcher'!$K$3:$K$9102)</f>
        <v>0.17</v>
      </c>
    </row>
    <row r="5" spans="1:13" x14ac:dyDescent="0.2">
      <c r="A5" t="s">
        <v>214</v>
      </c>
      <c r="B5">
        <f>COUNTIF('Evaluation by researcher'!$K$3:$K$102,A5)</f>
        <v>0</v>
      </c>
      <c r="C5" s="4">
        <f>B5/COUNTA('Evaluation by researcher'!$K$3:$K$92)</f>
        <v>0</v>
      </c>
    </row>
    <row r="6" spans="1:13" x14ac:dyDescent="0.2">
      <c r="A6" t="s">
        <v>452</v>
      </c>
      <c r="B6">
        <v>100</v>
      </c>
    </row>
    <row r="11" spans="1:13" x14ac:dyDescent="0.2">
      <c r="A11" s="1"/>
      <c r="B11" s="1"/>
      <c r="C11" s="1"/>
      <c r="D11" s="1"/>
      <c r="E11" s="1"/>
      <c r="F11" s="1"/>
      <c r="G11" s="1"/>
      <c r="H11" s="1"/>
      <c r="I11" s="1"/>
      <c r="J11" s="1"/>
      <c r="K11" s="1"/>
      <c r="L11" s="1"/>
      <c r="M11" s="1"/>
    </row>
    <row r="12" spans="1:13" x14ac:dyDescent="0.2">
      <c r="A12" t="s">
        <v>795</v>
      </c>
    </row>
    <row r="13" spans="1:13" ht="34" x14ac:dyDescent="0.2">
      <c r="A13" s="5" t="s">
        <v>453</v>
      </c>
      <c r="B13" s="5" t="s">
        <v>32</v>
      </c>
      <c r="C13" s="5" t="s">
        <v>43</v>
      </c>
      <c r="D13" s="5" t="s">
        <v>215</v>
      </c>
      <c r="E13" s="5" t="s">
        <v>33</v>
      </c>
      <c r="F13" s="5" t="s">
        <v>44</v>
      </c>
      <c r="G13" s="5" t="s">
        <v>216</v>
      </c>
    </row>
    <row r="14" spans="1:13" ht="34" x14ac:dyDescent="0.2">
      <c r="A14" s="11" t="s">
        <v>14</v>
      </c>
      <c r="B14" s="12">
        <f>COUNTIF('Evaluation by researcher'!M3:M102,"Strong")</f>
        <v>83</v>
      </c>
      <c r="C14" s="12">
        <f>COUNTIF('Evaluation by researcher'!M3:M102,"Acceptable")</f>
        <v>17</v>
      </c>
      <c r="D14" s="12">
        <f>COUNTIF('Evaluation by researcher'!M3:M102,"Weak")</f>
        <v>0</v>
      </c>
      <c r="E14" s="11"/>
      <c r="F14" s="11"/>
      <c r="G14" s="11"/>
    </row>
    <row r="15" spans="1:13" ht="34" x14ac:dyDescent="0.2">
      <c r="A15" s="11" t="s">
        <v>16</v>
      </c>
      <c r="B15">
        <f>COUNTIF('Evaluation by researcher'!O3:O102,"Strong")</f>
        <v>99</v>
      </c>
      <c r="C15">
        <f>COUNTIF('Evaluation by researcher'!O3:O102,"Acceptable")</f>
        <v>1</v>
      </c>
      <c r="D15">
        <f>COUNTIF('Evaluation by researcher'!O3:O102,"Weak")</f>
        <v>0</v>
      </c>
      <c r="E15" s="11"/>
      <c r="F15" s="11"/>
      <c r="G15" s="11"/>
    </row>
    <row r="16" spans="1:13" ht="51" x14ac:dyDescent="0.2">
      <c r="A16" s="11" t="s">
        <v>18</v>
      </c>
      <c r="B16" s="12">
        <f>COUNTIF('Evaluation by researcher'!Q3:Q102,"Strong")</f>
        <v>83</v>
      </c>
      <c r="C16" s="12">
        <f>COUNTIF('Evaluation by researcher'!Q3:Q102,"Acceptable")</f>
        <v>17</v>
      </c>
      <c r="D16" s="12">
        <f>COUNTIF('Evaluation by researcher'!Q3:Q102,"Weak")</f>
        <v>0</v>
      </c>
      <c r="E16" s="11"/>
      <c r="F16" s="11"/>
      <c r="G16" s="11"/>
    </row>
    <row r="17" spans="1:7" ht="34" x14ac:dyDescent="0.2">
      <c r="A17" s="11" t="s">
        <v>20</v>
      </c>
      <c r="B17" s="12"/>
      <c r="C17" s="12"/>
      <c r="D17" s="12"/>
      <c r="E17" s="11">
        <f>COUNTIF('Evaluation by researcher'!S3:S102,"Low Risk")</f>
        <v>83</v>
      </c>
      <c r="F17" s="11">
        <f>COUNTIF('Evaluation by researcher'!S3:S102,"Medium Risk")</f>
        <v>17</v>
      </c>
      <c r="G17" s="11">
        <f>COUNTIF('Evaluation by researcher'!S3:S102,"High Risk")</f>
        <v>0</v>
      </c>
    </row>
    <row r="18" spans="1:7" ht="51" x14ac:dyDescent="0.2">
      <c r="A18" s="11" t="s">
        <v>22</v>
      </c>
      <c r="B18" s="12">
        <f>COUNTIF('Evaluation by researcher'!U3:U102,"Strong")</f>
        <v>83</v>
      </c>
      <c r="C18" s="12">
        <f>COUNTIF('Evaluation by researcher'!U3:U102,"Acceptable")</f>
        <v>17</v>
      </c>
      <c r="D18" s="12">
        <f>COUNTIF('Evaluation by researcher'!U3:U102,"Weak")</f>
        <v>0</v>
      </c>
      <c r="E18" s="11"/>
      <c r="F18" s="11"/>
      <c r="G18" s="11"/>
    </row>
    <row r="44" spans="1:7" x14ac:dyDescent="0.2">
      <c r="A44" s="31"/>
      <c r="B44" s="32"/>
      <c r="C44" s="32"/>
      <c r="D44" s="32"/>
      <c r="E44" s="32"/>
      <c r="F44" s="32"/>
      <c r="G44" s="32"/>
    </row>
    <row r="45" spans="1:7" x14ac:dyDescent="0.2">
      <c r="A45" s="11"/>
      <c r="B45" s="33"/>
      <c r="C45" s="33"/>
      <c r="D45" s="33"/>
      <c r="E45" s="11"/>
      <c r="F45" s="11"/>
      <c r="G45" s="11"/>
    </row>
    <row r="46" spans="1:7" x14ac:dyDescent="0.2">
      <c r="A46" s="11"/>
      <c r="B46" s="33"/>
      <c r="C46" s="33"/>
      <c r="D46" s="33"/>
      <c r="E46" s="11"/>
      <c r="F46" s="11"/>
      <c r="G46" s="11"/>
    </row>
    <row r="47" spans="1:7" x14ac:dyDescent="0.2">
      <c r="A47" s="11"/>
      <c r="C47" s="33"/>
      <c r="D47" s="33"/>
      <c r="E47" s="11"/>
      <c r="F47" s="11"/>
      <c r="G47" s="11"/>
    </row>
    <row r="48" spans="1:7" x14ac:dyDescent="0.2">
      <c r="A48" s="11"/>
      <c r="B48" s="11"/>
      <c r="C48" s="11"/>
      <c r="D48" s="11"/>
    </row>
    <row r="49" spans="1:7" x14ac:dyDescent="0.2">
      <c r="A49" s="11"/>
      <c r="B49" s="33"/>
      <c r="C49" s="33"/>
      <c r="D49" s="33"/>
      <c r="E49" s="11"/>
      <c r="F49" s="11"/>
      <c r="G49" s="11"/>
    </row>
  </sheetData>
  <pageMargins left="0.7" right="0.7" top="0.75" bottom="0.75" header="0.3" footer="0.3"/>
  <pageSetup paperSize="9" orientation="portrait" horizontalDpi="0" verticalDpi="0"/>
  <headerFooter>
    <oddHeader>&amp;R&amp;"Aptos"&amp;11&amp;K000000 TUNI Luottamuksellinen - Confidential (3Y)&amp;1#_x000D_&amp;"Aptos Narrow"&amp;12&amp;K000000&amp;"Aptos"&amp;1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workbookViewId="0">
      <pane ySplit="1" topLeftCell="A2" activePane="bottomLeft" state="frozen"/>
      <selection pane="bottomLeft" activeCell="B32" sqref="B32"/>
    </sheetView>
  </sheetViews>
  <sheetFormatPr baseColWidth="10" defaultColWidth="8.83203125" defaultRowHeight="16" x14ac:dyDescent="0.2"/>
  <cols>
    <col min="1" max="1" width="24" customWidth="1"/>
    <col min="2" max="2" width="60" customWidth="1"/>
    <col min="3" max="3" width="48" customWidth="1"/>
    <col min="4" max="5" width="52" customWidth="1"/>
  </cols>
  <sheetData>
    <row r="1" spans="1:2" ht="30" customHeight="1" x14ac:dyDescent="0.2">
      <c r="A1" t="s">
        <v>796</v>
      </c>
    </row>
    <row r="2" spans="1:2" ht="29" customHeight="1" x14ac:dyDescent="0.2">
      <c r="A2" s="3" t="s">
        <v>12</v>
      </c>
      <c r="B2" s="3" t="s">
        <v>448</v>
      </c>
    </row>
    <row r="3" spans="1:2" ht="22" customHeight="1" x14ac:dyDescent="0.2">
      <c r="A3" t="s">
        <v>31</v>
      </c>
      <c r="B3" t="s">
        <v>449</v>
      </c>
    </row>
    <row r="4" spans="1:2" ht="22" customHeight="1" x14ac:dyDescent="0.2">
      <c r="A4" t="s">
        <v>42</v>
      </c>
      <c r="B4" t="s">
        <v>450</v>
      </c>
    </row>
    <row r="5" spans="1:2" ht="22" customHeight="1" x14ac:dyDescent="0.2">
      <c r="A5" t="s">
        <v>214</v>
      </c>
      <c r="B5" t="s">
        <v>451</v>
      </c>
    </row>
    <row r="6" spans="1:2" ht="22" customHeight="1" x14ac:dyDescent="0.2"/>
    <row r="17" spans="1:5" x14ac:dyDescent="0.2">
      <c r="A17" t="s">
        <v>797</v>
      </c>
    </row>
    <row r="19" spans="1:5" ht="17" x14ac:dyDescent="0.2">
      <c r="A19" s="7" t="s">
        <v>453</v>
      </c>
      <c r="B19" s="7" t="s">
        <v>454</v>
      </c>
      <c r="C19" s="7" t="s">
        <v>455</v>
      </c>
      <c r="D19" s="7" t="s">
        <v>456</v>
      </c>
      <c r="E19" s="7" t="s">
        <v>457</v>
      </c>
    </row>
    <row r="20" spans="1:5" ht="51" x14ac:dyDescent="0.2">
      <c r="A20" s="6" t="s">
        <v>14</v>
      </c>
      <c r="B20" s="6" t="s">
        <v>458</v>
      </c>
      <c r="C20" s="8" t="s">
        <v>459</v>
      </c>
      <c r="D20" s="9" t="s">
        <v>460</v>
      </c>
      <c r="E20" s="10" t="s">
        <v>461</v>
      </c>
    </row>
    <row r="21" spans="1:5" ht="51" x14ac:dyDescent="0.2">
      <c r="A21" s="6" t="s">
        <v>16</v>
      </c>
      <c r="B21" s="6" t="s">
        <v>462</v>
      </c>
      <c r="C21" s="8" t="s">
        <v>463</v>
      </c>
      <c r="D21" s="9" t="s">
        <v>464</v>
      </c>
      <c r="E21" s="10" t="s">
        <v>465</v>
      </c>
    </row>
    <row r="22" spans="1:5" ht="51" x14ac:dyDescent="0.2">
      <c r="A22" s="6" t="s">
        <v>18</v>
      </c>
      <c r="B22" s="6" t="s">
        <v>466</v>
      </c>
      <c r="C22" s="8" t="s">
        <v>467</v>
      </c>
      <c r="D22" s="9" t="s">
        <v>468</v>
      </c>
      <c r="E22" s="10" t="s">
        <v>469</v>
      </c>
    </row>
    <row r="23" spans="1:5" ht="51" x14ac:dyDescent="0.2">
      <c r="A23" s="6" t="s">
        <v>20</v>
      </c>
      <c r="B23" s="6" t="s">
        <v>470</v>
      </c>
      <c r="C23" s="8" t="s">
        <v>471</v>
      </c>
      <c r="D23" s="9" t="s">
        <v>472</v>
      </c>
      <c r="E23" s="10" t="s">
        <v>473</v>
      </c>
    </row>
    <row r="24" spans="1:5" ht="34" x14ac:dyDescent="0.2">
      <c r="A24" s="6" t="s">
        <v>22</v>
      </c>
      <c r="B24" s="6" t="s">
        <v>474</v>
      </c>
      <c r="C24" s="8" t="s">
        <v>475</v>
      </c>
      <c r="D24" s="9" t="s">
        <v>476</v>
      </c>
      <c r="E24" s="10" t="s">
        <v>477</v>
      </c>
    </row>
  </sheetData>
  <pageMargins left="0.75" right="0.75" top="1" bottom="1" header="0.5" footer="0.5"/>
  <pageSetup paperSize="9" orientation="portrait" horizontalDpi="0" verticalDpi="0"/>
  <headerFooter>
    <oddHeader>&amp;R&amp;"Aptos"&amp;11&amp;K000000 TUNI Luottamuksellinen - Confidential (3Y)&amp;1#_x000D_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DE43-E617-B945-8042-4DD865DE48A3}">
  <dimension ref="A1:V102"/>
  <sheetViews>
    <sheetView topLeftCell="H1" zoomScale="83" zoomScaleNormal="90" workbookViewId="0">
      <selection activeCell="J5" sqref="J5"/>
    </sheetView>
  </sheetViews>
  <sheetFormatPr baseColWidth="10" defaultRowHeight="16" x14ac:dyDescent="0.2"/>
  <cols>
    <col min="1" max="1" width="18" style="13" customWidth="1"/>
    <col min="2" max="2" width="32" style="13" customWidth="1"/>
    <col min="3" max="3" width="34" style="13" customWidth="1"/>
    <col min="4" max="4" width="12" style="13" customWidth="1"/>
    <col min="5" max="5" width="42" style="13" customWidth="1"/>
    <col min="6" max="6" width="40.1640625" style="13" customWidth="1"/>
    <col min="7" max="7" width="36" style="13" customWidth="1"/>
    <col min="8" max="8" width="55" style="2" customWidth="1"/>
    <col min="9" max="9" width="8" style="13" customWidth="1"/>
    <col min="10" max="10" width="55" style="13" customWidth="1"/>
    <col min="11" max="11" width="14" style="13" customWidth="1"/>
    <col min="12" max="12" width="44" style="13" customWidth="1"/>
    <col min="13" max="13" width="18" style="13" customWidth="1"/>
    <col min="14" max="14" width="48" style="13" customWidth="1"/>
    <col min="15" max="15" width="20" style="13" customWidth="1"/>
    <col min="16" max="16" width="48" style="13" customWidth="1"/>
    <col min="17" max="17" width="22" style="13" customWidth="1"/>
    <col min="18" max="18" width="48" style="13" customWidth="1"/>
    <col min="19" max="19" width="20" style="13" customWidth="1"/>
    <col min="20" max="20" width="48" style="13" customWidth="1"/>
    <col min="21" max="21" width="20" style="13" customWidth="1"/>
    <col min="22" max="22" width="55" style="13" customWidth="1"/>
    <col min="23" max="16384" width="10.83203125" style="13"/>
  </cols>
  <sheetData>
    <row r="1" spans="1:22" ht="28" customHeight="1" x14ac:dyDescent="0.2">
      <c r="A1" s="34" t="s">
        <v>0</v>
      </c>
      <c r="B1" s="34"/>
      <c r="C1" s="34"/>
      <c r="D1" s="34"/>
      <c r="E1" s="34"/>
      <c r="F1" s="34"/>
      <c r="G1" s="34"/>
      <c r="H1" s="34"/>
      <c r="I1" s="34" t="s">
        <v>1</v>
      </c>
      <c r="J1" s="34" t="s">
        <v>2</v>
      </c>
      <c r="K1" s="34"/>
      <c r="L1" s="34"/>
      <c r="M1" s="60" t="s">
        <v>3</v>
      </c>
      <c r="N1" s="60"/>
      <c r="O1" s="60"/>
      <c r="P1" s="60"/>
      <c r="Q1" s="60"/>
      <c r="R1" s="60"/>
      <c r="S1" s="60"/>
      <c r="T1" s="60"/>
      <c r="U1" s="60"/>
      <c r="V1" s="60"/>
    </row>
    <row r="2" spans="1:22" ht="28" customHeight="1" x14ac:dyDescent="0.2">
      <c r="A2" s="35" t="s">
        <v>4</v>
      </c>
      <c r="B2" s="35" t="s">
        <v>5</v>
      </c>
      <c r="C2" s="35" t="s">
        <v>6</v>
      </c>
      <c r="D2" s="35" t="s">
        <v>7</v>
      </c>
      <c r="E2" s="35" t="s">
        <v>8</v>
      </c>
      <c r="F2" s="35" t="s">
        <v>9</v>
      </c>
      <c r="G2" s="35" t="s">
        <v>10</v>
      </c>
      <c r="H2" s="35" t="s">
        <v>581</v>
      </c>
      <c r="I2" s="35"/>
      <c r="J2" s="35" t="s">
        <v>11</v>
      </c>
      <c r="K2" s="35" t="s">
        <v>12</v>
      </c>
      <c r="L2" s="35" t="s">
        <v>13</v>
      </c>
      <c r="M2" s="36" t="s">
        <v>14</v>
      </c>
      <c r="N2" s="36" t="s">
        <v>15</v>
      </c>
      <c r="O2" s="36" t="s">
        <v>16</v>
      </c>
      <c r="P2" s="36" t="s">
        <v>17</v>
      </c>
      <c r="Q2" s="36" t="s">
        <v>18</v>
      </c>
      <c r="R2" s="36" t="s">
        <v>19</v>
      </c>
      <c r="S2" s="36" t="s">
        <v>20</v>
      </c>
      <c r="T2" s="36" t="s">
        <v>21</v>
      </c>
      <c r="U2" s="36" t="s">
        <v>22</v>
      </c>
      <c r="V2" s="36" t="s">
        <v>23</v>
      </c>
    </row>
    <row r="3" spans="1:22" ht="97" customHeight="1" x14ac:dyDescent="0.2">
      <c r="A3" s="18" t="s">
        <v>24</v>
      </c>
      <c r="B3" s="18" t="s">
        <v>25</v>
      </c>
      <c r="C3" s="18" t="s">
        <v>26</v>
      </c>
      <c r="D3" s="19" t="s">
        <v>27</v>
      </c>
      <c r="E3" s="19" t="s">
        <v>28</v>
      </c>
      <c r="F3" s="19" t="s">
        <v>29</v>
      </c>
      <c r="G3" s="19" t="s">
        <v>30</v>
      </c>
      <c r="H3" s="26" t="s">
        <v>582</v>
      </c>
      <c r="I3" s="19"/>
      <c r="J3" s="47" t="s">
        <v>779</v>
      </c>
      <c r="K3" s="46" t="s">
        <v>31</v>
      </c>
      <c r="L3" s="47" t="s">
        <v>682</v>
      </c>
      <c r="M3" s="48" t="s">
        <v>32</v>
      </c>
      <c r="N3" s="47" t="s">
        <v>702</v>
      </c>
      <c r="O3" s="49" t="s">
        <v>43</v>
      </c>
      <c r="P3" s="47" t="s">
        <v>730</v>
      </c>
      <c r="Q3" s="48" t="s">
        <v>32</v>
      </c>
      <c r="R3" s="47" t="s">
        <v>728</v>
      </c>
      <c r="S3" s="48" t="s">
        <v>33</v>
      </c>
      <c r="T3" s="47" t="s">
        <v>726</v>
      </c>
      <c r="U3" s="48" t="s">
        <v>32</v>
      </c>
      <c r="V3" s="47" t="s">
        <v>706</v>
      </c>
    </row>
    <row r="4" spans="1:22" ht="79" customHeight="1" x14ac:dyDescent="0.2">
      <c r="A4" s="21"/>
      <c r="B4" s="21"/>
      <c r="C4" s="21"/>
      <c r="D4" s="19" t="s">
        <v>34</v>
      </c>
      <c r="E4" s="19" t="s">
        <v>35</v>
      </c>
      <c r="F4" s="19" t="s">
        <v>36</v>
      </c>
      <c r="G4" s="19" t="s">
        <v>37</v>
      </c>
      <c r="H4" s="26" t="s">
        <v>583</v>
      </c>
      <c r="I4" s="19"/>
      <c r="J4" s="47" t="s">
        <v>780</v>
      </c>
      <c r="K4" s="50" t="s">
        <v>42</v>
      </c>
      <c r="L4" s="47" t="s">
        <v>683</v>
      </c>
      <c r="M4" s="48" t="s">
        <v>32</v>
      </c>
      <c r="N4" s="47" t="s">
        <v>702</v>
      </c>
      <c r="O4" s="48" t="s">
        <v>32</v>
      </c>
      <c r="P4" s="47" t="s">
        <v>704</v>
      </c>
      <c r="Q4" s="48" t="s">
        <v>32</v>
      </c>
      <c r="R4" s="47" t="s">
        <v>728</v>
      </c>
      <c r="S4" s="48" t="s">
        <v>33</v>
      </c>
      <c r="T4" s="47" t="s">
        <v>726</v>
      </c>
      <c r="U4" s="48" t="s">
        <v>32</v>
      </c>
      <c r="V4" s="47" t="s">
        <v>707</v>
      </c>
    </row>
    <row r="5" spans="1:22" ht="137" customHeight="1" x14ac:dyDescent="0.2">
      <c r="A5" s="21"/>
      <c r="B5" s="21"/>
      <c r="C5" s="21"/>
      <c r="D5" s="19" t="s">
        <v>38</v>
      </c>
      <c r="E5" s="19" t="s">
        <v>39</v>
      </c>
      <c r="F5" s="19" t="s">
        <v>40</v>
      </c>
      <c r="G5" s="19" t="s">
        <v>41</v>
      </c>
      <c r="H5" s="26" t="s">
        <v>584</v>
      </c>
      <c r="I5" s="19"/>
      <c r="J5" s="47" t="s">
        <v>781</v>
      </c>
      <c r="K5" s="46" t="s">
        <v>31</v>
      </c>
      <c r="L5" s="47" t="s">
        <v>682</v>
      </c>
      <c r="M5" s="48" t="s">
        <v>32</v>
      </c>
      <c r="N5" s="47" t="s">
        <v>702</v>
      </c>
      <c r="O5" s="49" t="s">
        <v>43</v>
      </c>
      <c r="P5" s="47" t="s">
        <v>731</v>
      </c>
      <c r="Q5" s="48" t="s">
        <v>32</v>
      </c>
      <c r="R5" s="47" t="s">
        <v>728</v>
      </c>
      <c r="S5" s="48" t="s">
        <v>33</v>
      </c>
      <c r="T5" s="47" t="s">
        <v>726</v>
      </c>
      <c r="U5" s="48" t="s">
        <v>32</v>
      </c>
      <c r="V5" s="47" t="s">
        <v>708</v>
      </c>
    </row>
    <row r="6" spans="1:22" ht="115" customHeight="1" x14ac:dyDescent="0.2">
      <c r="A6" s="21"/>
      <c r="B6" s="21"/>
      <c r="C6" s="21"/>
      <c r="D6" s="19" t="s">
        <v>45</v>
      </c>
      <c r="E6" s="19" t="s">
        <v>46</v>
      </c>
      <c r="F6" s="19" t="s">
        <v>47</v>
      </c>
      <c r="G6" s="19" t="s">
        <v>48</v>
      </c>
      <c r="H6" s="26" t="s">
        <v>585</v>
      </c>
      <c r="I6" s="19"/>
      <c r="J6" s="47" t="s">
        <v>782</v>
      </c>
      <c r="K6" s="46" t="s">
        <v>31</v>
      </c>
      <c r="L6" s="47" t="s">
        <v>682</v>
      </c>
      <c r="M6" s="48" t="s">
        <v>32</v>
      </c>
      <c r="N6" s="47" t="s">
        <v>702</v>
      </c>
      <c r="O6" s="48" t="s">
        <v>32</v>
      </c>
      <c r="P6" s="47" t="s">
        <v>704</v>
      </c>
      <c r="Q6" s="48" t="s">
        <v>32</v>
      </c>
      <c r="R6" s="47" t="s">
        <v>728</v>
      </c>
      <c r="S6" s="48" t="s">
        <v>33</v>
      </c>
      <c r="T6" s="47" t="s">
        <v>726</v>
      </c>
      <c r="U6" s="48" t="s">
        <v>32</v>
      </c>
      <c r="V6" s="47" t="s">
        <v>706</v>
      </c>
    </row>
    <row r="7" spans="1:22" ht="138" customHeight="1" x14ac:dyDescent="0.2">
      <c r="A7" s="21"/>
      <c r="B7" s="21"/>
      <c r="C7" s="21"/>
      <c r="D7" s="19" t="s">
        <v>50</v>
      </c>
      <c r="E7" s="19" t="s">
        <v>51</v>
      </c>
      <c r="F7" s="19" t="s">
        <v>52</v>
      </c>
      <c r="G7" s="19" t="s">
        <v>53</v>
      </c>
      <c r="H7" s="26" t="s">
        <v>586</v>
      </c>
      <c r="I7" s="19"/>
      <c r="J7" s="57" t="s">
        <v>481</v>
      </c>
      <c r="K7" s="50" t="s">
        <v>42</v>
      </c>
      <c r="L7" s="47" t="s">
        <v>732</v>
      </c>
      <c r="M7" s="49" t="s">
        <v>43</v>
      </c>
      <c r="N7" s="47" t="s">
        <v>702</v>
      </c>
      <c r="O7" s="48" t="s">
        <v>32</v>
      </c>
      <c r="P7" s="47" t="s">
        <v>704</v>
      </c>
      <c r="Q7" s="48" t="s">
        <v>32</v>
      </c>
      <c r="R7" s="47" t="s">
        <v>728</v>
      </c>
      <c r="S7" s="48" t="s">
        <v>33</v>
      </c>
      <c r="T7" s="47" t="s">
        <v>726</v>
      </c>
      <c r="U7" s="48" t="s">
        <v>32</v>
      </c>
      <c r="V7" s="47" t="s">
        <v>709</v>
      </c>
    </row>
    <row r="8" spans="1:22" ht="66" customHeight="1" x14ac:dyDescent="0.2">
      <c r="A8" s="21"/>
      <c r="B8" s="21"/>
      <c r="C8" s="21"/>
      <c r="D8" s="19" t="s">
        <v>54</v>
      </c>
      <c r="E8" s="19" t="s">
        <v>55</v>
      </c>
      <c r="F8" s="19" t="s">
        <v>56</v>
      </c>
      <c r="G8" s="19" t="s">
        <v>57</v>
      </c>
      <c r="H8" s="26" t="s">
        <v>587</v>
      </c>
      <c r="I8" s="19"/>
      <c r="J8" s="47" t="s">
        <v>783</v>
      </c>
      <c r="K8" s="46" t="s">
        <v>31</v>
      </c>
      <c r="L8" s="47" t="s">
        <v>683</v>
      </c>
      <c r="M8" s="48" t="s">
        <v>32</v>
      </c>
      <c r="N8" s="47" t="s">
        <v>702</v>
      </c>
      <c r="O8" s="48" t="s">
        <v>32</v>
      </c>
      <c r="P8" s="47" t="s">
        <v>704</v>
      </c>
      <c r="Q8" s="48" t="s">
        <v>32</v>
      </c>
      <c r="R8" s="47" t="s">
        <v>728</v>
      </c>
      <c r="S8" s="48" t="s">
        <v>33</v>
      </c>
      <c r="T8" s="47" t="s">
        <v>726</v>
      </c>
      <c r="U8" s="48" t="s">
        <v>32</v>
      </c>
      <c r="V8" s="47" t="s">
        <v>707</v>
      </c>
    </row>
    <row r="9" spans="1:22" ht="130" customHeight="1" x14ac:dyDescent="0.2">
      <c r="A9" s="21"/>
      <c r="B9" s="21"/>
      <c r="C9" s="21"/>
      <c r="D9" s="19" t="s">
        <v>58</v>
      </c>
      <c r="E9" s="19" t="s">
        <v>59</v>
      </c>
      <c r="F9" s="19" t="s">
        <v>60</v>
      </c>
      <c r="G9" s="19" t="s">
        <v>580</v>
      </c>
      <c r="H9" s="26" t="s">
        <v>588</v>
      </c>
      <c r="I9" s="19"/>
      <c r="J9" s="47" t="s">
        <v>784</v>
      </c>
      <c r="K9" s="46" t="s">
        <v>31</v>
      </c>
      <c r="L9" s="47" t="s">
        <v>733</v>
      </c>
      <c r="M9" s="48" t="s">
        <v>32</v>
      </c>
      <c r="N9" s="47" t="s">
        <v>702</v>
      </c>
      <c r="O9" s="48" t="s">
        <v>32</v>
      </c>
      <c r="P9" s="47" t="s">
        <v>704</v>
      </c>
      <c r="Q9" s="48" t="s">
        <v>32</v>
      </c>
      <c r="R9" s="47" t="s">
        <v>728</v>
      </c>
      <c r="S9" s="48" t="s">
        <v>33</v>
      </c>
      <c r="T9" s="47" t="s">
        <v>726</v>
      </c>
      <c r="U9" s="48" t="s">
        <v>32</v>
      </c>
      <c r="V9" s="47" t="s">
        <v>706</v>
      </c>
    </row>
    <row r="10" spans="1:22" ht="66" customHeight="1" x14ac:dyDescent="0.2">
      <c r="A10" s="21"/>
      <c r="B10" s="21"/>
      <c r="C10" s="21"/>
      <c r="D10" s="19" t="s">
        <v>62</v>
      </c>
      <c r="E10" s="19" t="s">
        <v>63</v>
      </c>
      <c r="F10" s="19" t="s">
        <v>64</v>
      </c>
      <c r="G10" s="19" t="s">
        <v>65</v>
      </c>
      <c r="H10" s="26" t="s">
        <v>589</v>
      </c>
      <c r="I10" s="19"/>
      <c r="J10" s="47" t="s">
        <v>785</v>
      </c>
      <c r="K10" s="50" t="s">
        <v>42</v>
      </c>
      <c r="L10" s="47" t="s">
        <v>686</v>
      </c>
      <c r="M10" s="49" t="s">
        <v>43</v>
      </c>
      <c r="N10" s="47" t="s">
        <v>703</v>
      </c>
      <c r="O10" s="48" t="s">
        <v>32</v>
      </c>
      <c r="P10" s="47" t="s">
        <v>704</v>
      </c>
      <c r="Q10" s="49" t="s">
        <v>43</v>
      </c>
      <c r="R10" s="47" t="s">
        <v>729</v>
      </c>
      <c r="S10" s="49" t="s">
        <v>44</v>
      </c>
      <c r="T10" s="47" t="s">
        <v>727</v>
      </c>
      <c r="U10" s="49" t="s">
        <v>43</v>
      </c>
      <c r="V10" s="47" t="s">
        <v>710</v>
      </c>
    </row>
    <row r="11" spans="1:22" ht="74" customHeight="1" x14ac:dyDescent="0.2">
      <c r="A11" s="21"/>
      <c r="B11" s="21"/>
      <c r="C11" s="21"/>
      <c r="D11" s="19" t="s">
        <v>66</v>
      </c>
      <c r="E11" s="19" t="s">
        <v>67</v>
      </c>
      <c r="F11" s="19" t="s">
        <v>68</v>
      </c>
      <c r="G11" s="19" t="s">
        <v>69</v>
      </c>
      <c r="H11" s="26" t="s">
        <v>590</v>
      </c>
      <c r="I11" s="19"/>
      <c r="J11" s="47" t="s">
        <v>780</v>
      </c>
      <c r="K11" s="46" t="s">
        <v>31</v>
      </c>
      <c r="L11" s="47" t="s">
        <v>683</v>
      </c>
      <c r="M11" s="48" t="s">
        <v>32</v>
      </c>
      <c r="N11" s="47" t="s">
        <v>702</v>
      </c>
      <c r="O11" s="49" t="s">
        <v>43</v>
      </c>
      <c r="P11" s="47" t="s">
        <v>704</v>
      </c>
      <c r="Q11" s="48" t="s">
        <v>32</v>
      </c>
      <c r="R11" s="47" t="s">
        <v>728</v>
      </c>
      <c r="S11" s="48" t="s">
        <v>33</v>
      </c>
      <c r="T11" s="47" t="s">
        <v>726</v>
      </c>
      <c r="U11" s="48" t="s">
        <v>32</v>
      </c>
      <c r="V11" s="47" t="s">
        <v>707</v>
      </c>
    </row>
    <row r="12" spans="1:22" ht="140" customHeight="1" x14ac:dyDescent="0.2">
      <c r="A12" s="21"/>
      <c r="B12" s="21"/>
      <c r="C12" s="21"/>
      <c r="D12" s="19" t="s">
        <v>70</v>
      </c>
      <c r="E12" s="19" t="s">
        <v>71</v>
      </c>
      <c r="F12" s="19" t="s">
        <v>72</v>
      </c>
      <c r="G12" s="19" t="s">
        <v>73</v>
      </c>
      <c r="H12" s="26" t="s">
        <v>591</v>
      </c>
      <c r="I12" s="19"/>
      <c r="J12" s="47" t="s">
        <v>786</v>
      </c>
      <c r="K12" s="50" t="s">
        <v>42</v>
      </c>
      <c r="L12" s="47" t="s">
        <v>734</v>
      </c>
      <c r="M12" s="49" t="s">
        <v>43</v>
      </c>
      <c r="N12" s="47" t="s">
        <v>702</v>
      </c>
      <c r="O12" s="49" t="s">
        <v>43</v>
      </c>
      <c r="P12" s="47" t="s">
        <v>735</v>
      </c>
      <c r="Q12" s="48" t="s">
        <v>32</v>
      </c>
      <c r="R12" s="47" t="s">
        <v>728</v>
      </c>
      <c r="S12" s="48" t="s">
        <v>33</v>
      </c>
      <c r="T12" s="47" t="s">
        <v>726</v>
      </c>
      <c r="U12" s="49" t="s">
        <v>43</v>
      </c>
      <c r="V12" s="47" t="s">
        <v>706</v>
      </c>
    </row>
    <row r="13" spans="1:22" ht="104" customHeight="1" x14ac:dyDescent="0.2">
      <c r="A13" s="18" t="s">
        <v>74</v>
      </c>
      <c r="B13" s="18" t="s">
        <v>75</v>
      </c>
      <c r="C13" s="18" t="s">
        <v>76</v>
      </c>
      <c r="D13" s="19" t="s">
        <v>77</v>
      </c>
      <c r="E13" s="19" t="s">
        <v>78</v>
      </c>
      <c r="F13" s="19" t="s">
        <v>79</v>
      </c>
      <c r="G13" s="19" t="s">
        <v>80</v>
      </c>
      <c r="H13" s="37" t="s">
        <v>592</v>
      </c>
      <c r="I13" s="21"/>
      <c r="J13" s="57" t="s">
        <v>487</v>
      </c>
      <c r="K13" s="46" t="s">
        <v>31</v>
      </c>
      <c r="L13" s="47" t="s">
        <v>736</v>
      </c>
      <c r="M13" s="48" t="s">
        <v>32</v>
      </c>
      <c r="N13" s="47" t="s">
        <v>702</v>
      </c>
      <c r="O13" s="48" t="s">
        <v>32</v>
      </c>
      <c r="P13" s="47" t="s">
        <v>704</v>
      </c>
      <c r="Q13" s="48" t="s">
        <v>32</v>
      </c>
      <c r="R13" s="47" t="s">
        <v>728</v>
      </c>
      <c r="S13" s="48" t="s">
        <v>33</v>
      </c>
      <c r="T13" s="47" t="s">
        <v>726</v>
      </c>
      <c r="U13" s="48" t="s">
        <v>32</v>
      </c>
      <c r="V13" s="47" t="s">
        <v>709</v>
      </c>
    </row>
    <row r="14" spans="1:22" ht="108" customHeight="1" x14ac:dyDescent="0.2">
      <c r="A14" s="21"/>
      <c r="B14" s="21"/>
      <c r="C14" s="21"/>
      <c r="D14" s="19" t="s">
        <v>81</v>
      </c>
      <c r="E14" s="19" t="s">
        <v>82</v>
      </c>
      <c r="F14" s="19" t="s">
        <v>83</v>
      </c>
      <c r="G14" s="19" t="s">
        <v>84</v>
      </c>
      <c r="H14" s="37" t="s">
        <v>593</v>
      </c>
      <c r="I14" s="21"/>
      <c r="J14" s="47" t="s">
        <v>781</v>
      </c>
      <c r="K14" s="46" t="s">
        <v>31</v>
      </c>
      <c r="L14" s="47" t="s">
        <v>737</v>
      </c>
      <c r="M14" s="49" t="s">
        <v>43</v>
      </c>
      <c r="N14" s="47" t="s">
        <v>738</v>
      </c>
      <c r="O14" s="48" t="s">
        <v>32</v>
      </c>
      <c r="P14" s="47" t="s">
        <v>704</v>
      </c>
      <c r="Q14" s="48" t="s">
        <v>32</v>
      </c>
      <c r="R14" s="47" t="s">
        <v>728</v>
      </c>
      <c r="S14" s="49" t="s">
        <v>44</v>
      </c>
      <c r="T14" s="51" t="s">
        <v>85</v>
      </c>
      <c r="U14" s="49" t="s">
        <v>43</v>
      </c>
      <c r="V14" s="47" t="s">
        <v>707</v>
      </c>
    </row>
    <row r="15" spans="1:22" ht="80" customHeight="1" x14ac:dyDescent="0.2">
      <c r="A15" s="21"/>
      <c r="B15" s="21"/>
      <c r="C15" s="21"/>
      <c r="D15" s="19" t="s">
        <v>86</v>
      </c>
      <c r="E15" s="19" t="s">
        <v>87</v>
      </c>
      <c r="F15" s="19" t="s">
        <v>88</v>
      </c>
      <c r="G15" s="19" t="s">
        <v>89</v>
      </c>
      <c r="H15" s="37" t="s">
        <v>594</v>
      </c>
      <c r="I15" s="21"/>
      <c r="J15" s="47" t="s">
        <v>787</v>
      </c>
      <c r="K15" s="46" t="s">
        <v>31</v>
      </c>
      <c r="L15" s="47" t="s">
        <v>739</v>
      </c>
      <c r="M15" s="48" t="s">
        <v>32</v>
      </c>
      <c r="N15" s="47" t="s">
        <v>702</v>
      </c>
      <c r="O15" s="49" t="s">
        <v>43</v>
      </c>
      <c r="P15" s="47" t="s">
        <v>740</v>
      </c>
      <c r="Q15" s="49" t="s">
        <v>43</v>
      </c>
      <c r="R15" s="47" t="s">
        <v>741</v>
      </c>
      <c r="S15" s="48" t="s">
        <v>33</v>
      </c>
      <c r="T15" s="47" t="s">
        <v>726</v>
      </c>
      <c r="U15" s="48" t="s">
        <v>32</v>
      </c>
      <c r="V15" s="47" t="s">
        <v>707</v>
      </c>
    </row>
    <row r="16" spans="1:22" ht="97" customHeight="1" x14ac:dyDescent="0.2">
      <c r="A16" s="21"/>
      <c r="B16" s="21"/>
      <c r="C16" s="21"/>
      <c r="D16" s="19" t="s">
        <v>90</v>
      </c>
      <c r="E16" s="19" t="s">
        <v>91</v>
      </c>
      <c r="F16" s="19" t="s">
        <v>92</v>
      </c>
      <c r="G16" s="19" t="s">
        <v>93</v>
      </c>
      <c r="H16" s="37" t="s">
        <v>595</v>
      </c>
      <c r="I16" s="21"/>
      <c r="J16" s="47" t="s">
        <v>783</v>
      </c>
      <c r="K16" s="46" t="s">
        <v>31</v>
      </c>
      <c r="L16" s="47" t="s">
        <v>742</v>
      </c>
      <c r="M16" s="49" t="s">
        <v>43</v>
      </c>
      <c r="N16" s="47" t="s">
        <v>743</v>
      </c>
      <c r="O16" s="48" t="s">
        <v>32</v>
      </c>
      <c r="P16" s="47" t="s">
        <v>704</v>
      </c>
      <c r="Q16" s="48" t="s">
        <v>32</v>
      </c>
      <c r="R16" s="47" t="s">
        <v>728</v>
      </c>
      <c r="S16" s="48" t="s">
        <v>33</v>
      </c>
      <c r="T16" s="47" t="s">
        <v>726</v>
      </c>
      <c r="U16" s="48" t="s">
        <v>32</v>
      </c>
      <c r="V16" s="47" t="s">
        <v>706</v>
      </c>
    </row>
    <row r="17" spans="1:22" ht="81" customHeight="1" x14ac:dyDescent="0.2">
      <c r="A17" s="21"/>
      <c r="B17" s="21"/>
      <c r="C17" s="21"/>
      <c r="D17" s="19" t="s">
        <v>94</v>
      </c>
      <c r="E17" s="19" t="s">
        <v>95</v>
      </c>
      <c r="F17" s="19" t="s">
        <v>96</v>
      </c>
      <c r="G17" s="19" t="s">
        <v>97</v>
      </c>
      <c r="H17" s="37" t="s">
        <v>596</v>
      </c>
      <c r="I17" s="21"/>
      <c r="J17" s="47" t="s">
        <v>788</v>
      </c>
      <c r="K17" s="50" t="s">
        <v>42</v>
      </c>
      <c r="L17" s="47" t="s">
        <v>744</v>
      </c>
      <c r="M17" s="49" t="s">
        <v>43</v>
      </c>
      <c r="N17" s="52" t="s">
        <v>703</v>
      </c>
      <c r="O17" s="49" t="s">
        <v>43</v>
      </c>
      <c r="P17" s="47" t="s">
        <v>745</v>
      </c>
      <c r="Q17" s="48" t="s">
        <v>32</v>
      </c>
      <c r="R17" s="47" t="s">
        <v>728</v>
      </c>
      <c r="S17" s="49" t="s">
        <v>44</v>
      </c>
      <c r="T17" s="51" t="s">
        <v>85</v>
      </c>
      <c r="U17" s="49" t="s">
        <v>43</v>
      </c>
      <c r="V17" s="47" t="s">
        <v>706</v>
      </c>
    </row>
    <row r="18" spans="1:22" ht="104" customHeight="1" x14ac:dyDescent="0.2">
      <c r="A18" s="21"/>
      <c r="B18" s="21"/>
      <c r="C18" s="21"/>
      <c r="D18" s="19" t="s">
        <v>98</v>
      </c>
      <c r="E18" s="19" t="s">
        <v>99</v>
      </c>
      <c r="F18" s="19" t="s">
        <v>100</v>
      </c>
      <c r="G18" s="19" t="s">
        <v>101</v>
      </c>
      <c r="H18" s="37" t="s">
        <v>597</v>
      </c>
      <c r="I18" s="21"/>
      <c r="J18" s="47" t="s">
        <v>782</v>
      </c>
      <c r="K18" s="50" t="s">
        <v>42</v>
      </c>
      <c r="L18" s="47" t="s">
        <v>746</v>
      </c>
      <c r="M18" s="49" t="s">
        <v>43</v>
      </c>
      <c r="N18" s="47" t="s">
        <v>702</v>
      </c>
      <c r="O18" s="48" t="s">
        <v>32</v>
      </c>
      <c r="P18" s="47" t="s">
        <v>704</v>
      </c>
      <c r="Q18" s="48" t="s">
        <v>32</v>
      </c>
      <c r="R18" s="47" t="s">
        <v>728</v>
      </c>
      <c r="S18" s="48" t="s">
        <v>33</v>
      </c>
      <c r="T18" s="47" t="s">
        <v>726</v>
      </c>
      <c r="U18" s="48" t="s">
        <v>32</v>
      </c>
      <c r="V18" s="47" t="s">
        <v>709</v>
      </c>
    </row>
    <row r="19" spans="1:22" ht="67" customHeight="1" x14ac:dyDescent="0.2">
      <c r="A19" s="21"/>
      <c r="B19" s="21"/>
      <c r="C19" s="21"/>
      <c r="D19" s="19" t="s">
        <v>102</v>
      </c>
      <c r="E19" s="19" t="s">
        <v>103</v>
      </c>
      <c r="F19" s="19" t="s">
        <v>104</v>
      </c>
      <c r="G19" s="19" t="s">
        <v>105</v>
      </c>
      <c r="H19" s="37" t="s">
        <v>598</v>
      </c>
      <c r="I19" s="21"/>
      <c r="J19" s="47" t="s">
        <v>781</v>
      </c>
      <c r="K19" s="46" t="s">
        <v>31</v>
      </c>
      <c r="L19" s="47" t="s">
        <v>685</v>
      </c>
      <c r="M19" s="48" t="s">
        <v>32</v>
      </c>
      <c r="N19" s="47" t="s">
        <v>702</v>
      </c>
      <c r="O19" s="49" t="s">
        <v>43</v>
      </c>
      <c r="P19" s="47" t="s">
        <v>747</v>
      </c>
      <c r="Q19" s="48" t="s">
        <v>32</v>
      </c>
      <c r="R19" s="47" t="s">
        <v>728</v>
      </c>
      <c r="S19" s="48" t="s">
        <v>33</v>
      </c>
      <c r="T19" s="47" t="s">
        <v>726</v>
      </c>
      <c r="U19" s="48" t="s">
        <v>32</v>
      </c>
      <c r="V19" s="47" t="s">
        <v>709</v>
      </c>
    </row>
    <row r="20" spans="1:22" ht="83" customHeight="1" x14ac:dyDescent="0.2">
      <c r="A20" s="21"/>
      <c r="B20" s="21"/>
      <c r="C20" s="21"/>
      <c r="D20" s="19" t="s">
        <v>106</v>
      </c>
      <c r="E20" s="19" t="s">
        <v>107</v>
      </c>
      <c r="F20" s="19" t="s">
        <v>108</v>
      </c>
      <c r="G20" s="19" t="s">
        <v>109</v>
      </c>
      <c r="H20" s="37" t="s">
        <v>599</v>
      </c>
      <c r="I20" s="21"/>
      <c r="J20" s="47" t="s">
        <v>787</v>
      </c>
      <c r="K20" s="50" t="s">
        <v>42</v>
      </c>
      <c r="L20" s="47" t="s">
        <v>748</v>
      </c>
      <c r="M20" s="48" t="s">
        <v>32</v>
      </c>
      <c r="N20" s="47" t="s">
        <v>702</v>
      </c>
      <c r="O20" s="48" t="s">
        <v>32</v>
      </c>
      <c r="P20" s="47" t="s">
        <v>704</v>
      </c>
      <c r="Q20" s="49" t="s">
        <v>43</v>
      </c>
      <c r="R20" s="47" t="s">
        <v>741</v>
      </c>
      <c r="S20" s="48" t="s">
        <v>33</v>
      </c>
      <c r="T20" s="47" t="s">
        <v>726</v>
      </c>
      <c r="U20" s="48" t="s">
        <v>32</v>
      </c>
      <c r="V20" s="47" t="s">
        <v>707</v>
      </c>
    </row>
    <row r="21" spans="1:22" ht="69" customHeight="1" x14ac:dyDescent="0.2">
      <c r="A21" s="21"/>
      <c r="B21" s="21"/>
      <c r="C21" s="21"/>
      <c r="D21" s="19" t="s">
        <v>110</v>
      </c>
      <c r="E21" s="19" t="s">
        <v>111</v>
      </c>
      <c r="F21" s="19" t="s">
        <v>112</v>
      </c>
      <c r="G21" s="19" t="s">
        <v>113</v>
      </c>
      <c r="H21" s="26" t="s">
        <v>600</v>
      </c>
      <c r="I21" s="21"/>
      <c r="J21" s="47" t="s">
        <v>781</v>
      </c>
      <c r="K21" s="46" t="s">
        <v>31</v>
      </c>
      <c r="L21" s="47" t="s">
        <v>685</v>
      </c>
      <c r="M21" s="48" t="s">
        <v>32</v>
      </c>
      <c r="N21" s="47" t="s">
        <v>702</v>
      </c>
      <c r="O21" s="49" t="s">
        <v>43</v>
      </c>
      <c r="P21" s="47" t="s">
        <v>749</v>
      </c>
      <c r="Q21" s="48" t="s">
        <v>32</v>
      </c>
      <c r="R21" s="47" t="s">
        <v>728</v>
      </c>
      <c r="S21" s="48" t="s">
        <v>33</v>
      </c>
      <c r="T21" s="47" t="s">
        <v>726</v>
      </c>
      <c r="U21" s="48" t="s">
        <v>32</v>
      </c>
      <c r="V21" s="47" t="s">
        <v>709</v>
      </c>
    </row>
    <row r="22" spans="1:22" ht="111" customHeight="1" x14ac:dyDescent="0.2">
      <c r="A22" s="21"/>
      <c r="B22" s="21"/>
      <c r="C22" s="21"/>
      <c r="D22" s="19" t="s">
        <v>114</v>
      </c>
      <c r="E22" s="19" t="s">
        <v>115</v>
      </c>
      <c r="F22" s="19" t="s">
        <v>116</v>
      </c>
      <c r="G22" s="19" t="s">
        <v>117</v>
      </c>
      <c r="H22" s="37" t="s">
        <v>601</v>
      </c>
      <c r="I22" s="21"/>
      <c r="J22" s="47" t="s">
        <v>781</v>
      </c>
      <c r="K22" s="50" t="s">
        <v>42</v>
      </c>
      <c r="L22" s="47" t="s">
        <v>750</v>
      </c>
      <c r="M22" s="49" t="s">
        <v>43</v>
      </c>
      <c r="N22" s="47" t="s">
        <v>751</v>
      </c>
      <c r="O22" s="49" t="s">
        <v>43</v>
      </c>
      <c r="P22" s="47" t="s">
        <v>704</v>
      </c>
      <c r="Q22" s="48" t="s">
        <v>32</v>
      </c>
      <c r="R22" s="47" t="s">
        <v>728</v>
      </c>
      <c r="S22" s="48" t="s">
        <v>33</v>
      </c>
      <c r="T22" s="47" t="s">
        <v>726</v>
      </c>
      <c r="U22" s="48" t="s">
        <v>32</v>
      </c>
      <c r="V22" s="47" t="s">
        <v>707</v>
      </c>
    </row>
    <row r="23" spans="1:22" ht="42" customHeight="1" x14ac:dyDescent="0.2">
      <c r="A23" s="18" t="s">
        <v>118</v>
      </c>
      <c r="B23" s="18" t="s">
        <v>119</v>
      </c>
      <c r="C23" s="18" t="s">
        <v>120</v>
      </c>
      <c r="D23" s="19" t="s">
        <v>121</v>
      </c>
      <c r="E23" s="19" t="s">
        <v>122</v>
      </c>
      <c r="F23" s="19" t="s">
        <v>123</v>
      </c>
      <c r="G23" s="19" t="s">
        <v>124</v>
      </c>
      <c r="H23" s="26" t="s">
        <v>602</v>
      </c>
      <c r="I23" s="21"/>
      <c r="J23" s="47" t="s">
        <v>789</v>
      </c>
      <c r="K23" s="46" t="s">
        <v>31</v>
      </c>
      <c r="L23" s="47" t="s">
        <v>682</v>
      </c>
      <c r="M23" s="48" t="s">
        <v>32</v>
      </c>
      <c r="N23" s="47" t="s">
        <v>702</v>
      </c>
      <c r="O23" s="48" t="s">
        <v>32</v>
      </c>
      <c r="P23" s="47" t="s">
        <v>704</v>
      </c>
      <c r="Q23" s="48" t="s">
        <v>32</v>
      </c>
      <c r="R23" s="47" t="s">
        <v>728</v>
      </c>
      <c r="S23" s="48" t="s">
        <v>33</v>
      </c>
      <c r="T23" s="47" t="s">
        <v>726</v>
      </c>
      <c r="U23" s="48" t="s">
        <v>32</v>
      </c>
      <c r="V23" s="47" t="s">
        <v>706</v>
      </c>
    </row>
    <row r="24" spans="1:22" ht="84" customHeight="1" x14ac:dyDescent="0.2">
      <c r="A24" s="21"/>
      <c r="B24" s="21"/>
      <c r="C24" s="21"/>
      <c r="D24" s="19" t="s">
        <v>125</v>
      </c>
      <c r="E24" s="19" t="s">
        <v>126</v>
      </c>
      <c r="F24" s="19" t="s">
        <v>127</v>
      </c>
      <c r="G24" s="19" t="s">
        <v>128</v>
      </c>
      <c r="H24" s="26" t="s">
        <v>603</v>
      </c>
      <c r="I24" s="21"/>
      <c r="J24" s="47" t="s">
        <v>787</v>
      </c>
      <c r="K24" s="50" t="s">
        <v>42</v>
      </c>
      <c r="L24" s="47" t="s">
        <v>752</v>
      </c>
      <c r="M24" s="48" t="s">
        <v>32</v>
      </c>
      <c r="N24" s="47" t="s">
        <v>702</v>
      </c>
      <c r="O24" s="48" t="s">
        <v>32</v>
      </c>
      <c r="P24" s="47" t="s">
        <v>704</v>
      </c>
      <c r="Q24" s="49" t="s">
        <v>43</v>
      </c>
      <c r="R24" s="47" t="s">
        <v>753</v>
      </c>
      <c r="S24" s="48" t="s">
        <v>33</v>
      </c>
      <c r="T24" s="47" t="s">
        <v>726</v>
      </c>
      <c r="U24" s="48" t="s">
        <v>32</v>
      </c>
      <c r="V24" s="47" t="s">
        <v>707</v>
      </c>
    </row>
    <row r="25" spans="1:22" ht="42" customHeight="1" x14ac:dyDescent="0.2">
      <c r="A25" s="21"/>
      <c r="B25" s="21"/>
      <c r="C25" s="21"/>
      <c r="D25" s="19" t="s">
        <v>129</v>
      </c>
      <c r="E25" s="19" t="s">
        <v>130</v>
      </c>
      <c r="F25" s="19" t="s">
        <v>131</v>
      </c>
      <c r="G25" s="19" t="s">
        <v>132</v>
      </c>
      <c r="H25" s="26" t="s">
        <v>604</v>
      </c>
      <c r="I25" s="21"/>
      <c r="J25" s="47" t="s">
        <v>785</v>
      </c>
      <c r="K25" s="50" t="s">
        <v>42</v>
      </c>
      <c r="L25" s="47" t="s">
        <v>687</v>
      </c>
      <c r="M25" s="49" t="s">
        <v>43</v>
      </c>
      <c r="N25" s="47" t="s">
        <v>703</v>
      </c>
      <c r="O25" s="48" t="s">
        <v>32</v>
      </c>
      <c r="P25" s="47" t="s">
        <v>704</v>
      </c>
      <c r="Q25" s="49" t="s">
        <v>43</v>
      </c>
      <c r="R25" s="47" t="s">
        <v>729</v>
      </c>
      <c r="S25" s="49" t="s">
        <v>44</v>
      </c>
      <c r="T25" s="47" t="s">
        <v>727</v>
      </c>
      <c r="U25" s="49" t="s">
        <v>43</v>
      </c>
      <c r="V25" s="47" t="s">
        <v>711</v>
      </c>
    </row>
    <row r="26" spans="1:22" ht="90" customHeight="1" x14ac:dyDescent="0.2">
      <c r="A26" s="21"/>
      <c r="B26" s="21"/>
      <c r="C26" s="21"/>
      <c r="D26" s="19" t="s">
        <v>133</v>
      </c>
      <c r="E26" s="19" t="s">
        <v>134</v>
      </c>
      <c r="F26" s="19" t="s">
        <v>135</v>
      </c>
      <c r="G26" s="19" t="s">
        <v>136</v>
      </c>
      <c r="H26" s="26" t="s">
        <v>605</v>
      </c>
      <c r="I26" s="21"/>
      <c r="J26" s="47" t="s">
        <v>790</v>
      </c>
      <c r="K26" s="50" t="s">
        <v>42</v>
      </c>
      <c r="L26" s="47" t="s">
        <v>754</v>
      </c>
      <c r="M26" s="53" t="s">
        <v>215</v>
      </c>
      <c r="N26" s="47" t="s">
        <v>755</v>
      </c>
      <c r="O26" s="48" t="s">
        <v>32</v>
      </c>
      <c r="P26" s="47" t="s">
        <v>704</v>
      </c>
      <c r="Q26" s="53" t="s">
        <v>215</v>
      </c>
      <c r="R26" s="47" t="s">
        <v>756</v>
      </c>
      <c r="S26" s="53" t="s">
        <v>216</v>
      </c>
      <c r="T26" s="47" t="s">
        <v>757</v>
      </c>
      <c r="U26" s="53" t="s">
        <v>215</v>
      </c>
      <c r="V26" s="47" t="s">
        <v>758</v>
      </c>
    </row>
    <row r="27" spans="1:22" ht="66" customHeight="1" x14ac:dyDescent="0.2">
      <c r="A27" s="21"/>
      <c r="B27" s="21"/>
      <c r="C27" s="21"/>
      <c r="D27" s="19" t="s">
        <v>137</v>
      </c>
      <c r="E27" s="19" t="s">
        <v>138</v>
      </c>
      <c r="F27" s="19" t="s">
        <v>139</v>
      </c>
      <c r="G27" s="19" t="s">
        <v>140</v>
      </c>
      <c r="H27" s="26" t="s">
        <v>606</v>
      </c>
      <c r="I27" s="21"/>
      <c r="J27" s="57" t="s">
        <v>501</v>
      </c>
      <c r="K27" s="50" t="s">
        <v>42</v>
      </c>
      <c r="L27" s="47" t="s">
        <v>759</v>
      </c>
      <c r="M27" s="49" t="s">
        <v>43</v>
      </c>
      <c r="N27" s="47" t="s">
        <v>760</v>
      </c>
      <c r="O27" s="48" t="s">
        <v>32</v>
      </c>
      <c r="P27" s="47" t="s">
        <v>704</v>
      </c>
      <c r="Q27" s="48" t="s">
        <v>32</v>
      </c>
      <c r="R27" s="47" t="s">
        <v>728</v>
      </c>
      <c r="S27" s="48" t="s">
        <v>33</v>
      </c>
      <c r="T27" s="47" t="s">
        <v>726</v>
      </c>
      <c r="U27" s="49" t="s">
        <v>43</v>
      </c>
      <c r="V27" s="47" t="s">
        <v>709</v>
      </c>
    </row>
    <row r="28" spans="1:22" ht="70" customHeight="1" x14ac:dyDescent="0.2">
      <c r="A28" s="21"/>
      <c r="B28" s="21"/>
      <c r="C28" s="21"/>
      <c r="D28" s="19" t="s">
        <v>141</v>
      </c>
      <c r="E28" s="19" t="s">
        <v>142</v>
      </c>
      <c r="F28" s="19" t="s">
        <v>143</v>
      </c>
      <c r="G28" s="19" t="s">
        <v>144</v>
      </c>
      <c r="H28" s="26" t="s">
        <v>607</v>
      </c>
      <c r="I28" s="21"/>
      <c r="J28" s="47" t="s">
        <v>787</v>
      </c>
      <c r="K28" s="46" t="s">
        <v>31</v>
      </c>
      <c r="L28" s="47" t="s">
        <v>683</v>
      </c>
      <c r="M28" s="48" t="s">
        <v>32</v>
      </c>
      <c r="N28" s="47" t="s">
        <v>702</v>
      </c>
      <c r="O28" s="48" t="s">
        <v>32</v>
      </c>
      <c r="P28" s="47" t="s">
        <v>704</v>
      </c>
      <c r="Q28" s="48" t="s">
        <v>32</v>
      </c>
      <c r="R28" s="47" t="s">
        <v>761</v>
      </c>
      <c r="S28" s="48" t="s">
        <v>33</v>
      </c>
      <c r="T28" s="47" t="s">
        <v>726</v>
      </c>
      <c r="U28" s="48" t="s">
        <v>32</v>
      </c>
      <c r="V28" s="47" t="s">
        <v>707</v>
      </c>
    </row>
    <row r="29" spans="1:22" ht="42" customHeight="1" x14ac:dyDescent="0.2">
      <c r="A29" s="21"/>
      <c r="B29" s="21"/>
      <c r="C29" s="21"/>
      <c r="D29" s="19" t="s">
        <v>145</v>
      </c>
      <c r="E29" s="19" t="s">
        <v>146</v>
      </c>
      <c r="F29" s="19" t="s">
        <v>147</v>
      </c>
      <c r="G29" s="19" t="s">
        <v>148</v>
      </c>
      <c r="H29" s="26" t="s">
        <v>608</v>
      </c>
      <c r="I29" s="21"/>
      <c r="J29" s="57" t="s">
        <v>503</v>
      </c>
      <c r="K29" s="46" t="s">
        <v>31</v>
      </c>
      <c r="L29" s="47" t="s">
        <v>685</v>
      </c>
      <c r="M29" s="48" t="s">
        <v>32</v>
      </c>
      <c r="N29" s="47" t="s">
        <v>702</v>
      </c>
      <c r="O29" s="48" t="s">
        <v>32</v>
      </c>
      <c r="P29" s="47" t="s">
        <v>704</v>
      </c>
      <c r="Q29" s="48" t="s">
        <v>32</v>
      </c>
      <c r="R29" s="47" t="s">
        <v>728</v>
      </c>
      <c r="S29" s="48" t="s">
        <v>33</v>
      </c>
      <c r="T29" s="47" t="s">
        <v>726</v>
      </c>
      <c r="U29" s="48" t="s">
        <v>32</v>
      </c>
      <c r="V29" s="47" t="s">
        <v>709</v>
      </c>
    </row>
    <row r="30" spans="1:22" ht="42" customHeight="1" x14ac:dyDescent="0.2">
      <c r="A30" s="21"/>
      <c r="B30" s="21"/>
      <c r="C30" s="21"/>
      <c r="D30" s="19" t="s">
        <v>149</v>
      </c>
      <c r="E30" s="19" t="s">
        <v>150</v>
      </c>
      <c r="F30" s="19" t="s">
        <v>151</v>
      </c>
      <c r="G30" s="19" t="s">
        <v>152</v>
      </c>
      <c r="H30" s="26" t="s">
        <v>609</v>
      </c>
      <c r="I30" s="21"/>
      <c r="J30" s="47" t="s">
        <v>780</v>
      </c>
      <c r="K30" s="46" t="s">
        <v>31</v>
      </c>
      <c r="L30" s="47" t="s">
        <v>683</v>
      </c>
      <c r="M30" s="48" t="s">
        <v>32</v>
      </c>
      <c r="N30" s="47" t="s">
        <v>702</v>
      </c>
      <c r="O30" s="48" t="s">
        <v>32</v>
      </c>
      <c r="P30" s="47" t="s">
        <v>704</v>
      </c>
      <c r="Q30" s="48" t="s">
        <v>32</v>
      </c>
      <c r="R30" s="47" t="s">
        <v>728</v>
      </c>
      <c r="S30" s="48" t="s">
        <v>33</v>
      </c>
      <c r="T30" s="47" t="s">
        <v>726</v>
      </c>
      <c r="U30" s="48" t="s">
        <v>32</v>
      </c>
      <c r="V30" s="47" t="s">
        <v>707</v>
      </c>
    </row>
    <row r="31" spans="1:22" ht="101" customHeight="1" x14ac:dyDescent="0.2">
      <c r="A31" s="21"/>
      <c r="B31" s="21"/>
      <c r="C31" s="21"/>
      <c r="D31" s="19" t="s">
        <v>153</v>
      </c>
      <c r="E31" s="19" t="s">
        <v>154</v>
      </c>
      <c r="F31" s="19" t="s">
        <v>155</v>
      </c>
      <c r="G31" s="19" t="s">
        <v>156</v>
      </c>
      <c r="H31" s="26" t="s">
        <v>610</v>
      </c>
      <c r="I31" s="21"/>
      <c r="J31" s="47" t="s">
        <v>791</v>
      </c>
      <c r="K31" s="46" t="s">
        <v>31</v>
      </c>
      <c r="L31" s="47" t="s">
        <v>684</v>
      </c>
      <c r="M31" s="48" t="s">
        <v>32</v>
      </c>
      <c r="N31" s="47" t="s">
        <v>702</v>
      </c>
      <c r="O31" s="48" t="s">
        <v>32</v>
      </c>
      <c r="P31" s="47" t="s">
        <v>704</v>
      </c>
      <c r="Q31" s="48" t="s">
        <v>32</v>
      </c>
      <c r="R31" s="47" t="s">
        <v>728</v>
      </c>
      <c r="S31" s="48" t="s">
        <v>33</v>
      </c>
      <c r="T31" s="47" t="s">
        <v>726</v>
      </c>
      <c r="U31" s="48" t="s">
        <v>32</v>
      </c>
      <c r="V31" s="47" t="s">
        <v>708</v>
      </c>
    </row>
    <row r="32" spans="1:22" ht="83" customHeight="1" x14ac:dyDescent="0.2">
      <c r="A32" s="21"/>
      <c r="B32" s="21"/>
      <c r="C32" s="21"/>
      <c r="D32" s="19" t="s">
        <v>157</v>
      </c>
      <c r="E32" s="19" t="s">
        <v>158</v>
      </c>
      <c r="F32" s="19" t="s">
        <v>159</v>
      </c>
      <c r="G32" s="19" t="s">
        <v>160</v>
      </c>
      <c r="H32" s="26" t="s">
        <v>611</v>
      </c>
      <c r="I32" s="21"/>
      <c r="J32" s="47" t="s">
        <v>782</v>
      </c>
      <c r="K32" s="46" t="s">
        <v>31</v>
      </c>
      <c r="L32" s="47" t="s">
        <v>685</v>
      </c>
      <c r="M32" s="48" t="s">
        <v>32</v>
      </c>
      <c r="N32" s="47" t="s">
        <v>702</v>
      </c>
      <c r="O32" s="48" t="s">
        <v>32</v>
      </c>
      <c r="P32" s="47" t="s">
        <v>704</v>
      </c>
      <c r="Q32" s="48" t="s">
        <v>32</v>
      </c>
      <c r="R32" s="47" t="s">
        <v>728</v>
      </c>
      <c r="S32" s="48" t="s">
        <v>33</v>
      </c>
      <c r="T32" s="47" t="s">
        <v>726</v>
      </c>
      <c r="U32" s="48" t="s">
        <v>32</v>
      </c>
      <c r="V32" s="47" t="s">
        <v>709</v>
      </c>
    </row>
    <row r="33" spans="1:22" ht="84" customHeight="1" x14ac:dyDescent="0.2">
      <c r="A33" s="18" t="s">
        <v>161</v>
      </c>
      <c r="B33" s="18" t="s">
        <v>162</v>
      </c>
      <c r="C33" s="18" t="s">
        <v>163</v>
      </c>
      <c r="D33" s="19" t="s">
        <v>164</v>
      </c>
      <c r="E33" s="19" t="s">
        <v>165</v>
      </c>
      <c r="F33" s="19" t="s">
        <v>166</v>
      </c>
      <c r="G33" s="19" t="s">
        <v>167</v>
      </c>
      <c r="H33" s="26" t="s">
        <v>612</v>
      </c>
      <c r="I33" s="21"/>
      <c r="J33" s="47" t="s">
        <v>792</v>
      </c>
      <c r="K33" s="50" t="s">
        <v>42</v>
      </c>
      <c r="L33" s="47" t="s">
        <v>762</v>
      </c>
      <c r="M33" s="49" t="s">
        <v>43</v>
      </c>
      <c r="N33" s="47" t="s">
        <v>763</v>
      </c>
      <c r="O33" s="48" t="s">
        <v>32</v>
      </c>
      <c r="P33" s="47" t="s">
        <v>704</v>
      </c>
      <c r="Q33" s="48" t="s">
        <v>32</v>
      </c>
      <c r="R33" s="47" t="s">
        <v>728</v>
      </c>
      <c r="S33" s="48" t="s">
        <v>33</v>
      </c>
      <c r="T33" s="47" t="s">
        <v>726</v>
      </c>
      <c r="U33" s="48" t="s">
        <v>32</v>
      </c>
      <c r="V33" s="47" t="s">
        <v>706</v>
      </c>
    </row>
    <row r="34" spans="1:22" ht="91" customHeight="1" x14ac:dyDescent="0.2">
      <c r="A34" s="21"/>
      <c r="B34" s="21"/>
      <c r="C34" s="21"/>
      <c r="D34" s="19" t="s">
        <v>168</v>
      </c>
      <c r="E34" s="19" t="s">
        <v>169</v>
      </c>
      <c r="F34" s="19" t="s">
        <v>170</v>
      </c>
      <c r="G34" s="19" t="s">
        <v>171</v>
      </c>
      <c r="H34" s="26" t="s">
        <v>613</v>
      </c>
      <c r="I34" s="21"/>
      <c r="J34" s="58" t="s">
        <v>508</v>
      </c>
      <c r="K34" s="50" t="s">
        <v>42</v>
      </c>
      <c r="L34" s="47" t="s">
        <v>764</v>
      </c>
      <c r="M34" s="49" t="s">
        <v>43</v>
      </c>
      <c r="N34" s="52" t="s">
        <v>765</v>
      </c>
      <c r="O34" s="48" t="s">
        <v>32</v>
      </c>
      <c r="P34" s="47" t="s">
        <v>704</v>
      </c>
      <c r="Q34" s="48" t="s">
        <v>32</v>
      </c>
      <c r="R34" s="47" t="s">
        <v>728</v>
      </c>
      <c r="S34" s="49" t="s">
        <v>44</v>
      </c>
      <c r="T34" s="52" t="s">
        <v>766</v>
      </c>
      <c r="U34" s="49" t="s">
        <v>43</v>
      </c>
      <c r="V34" s="47" t="s">
        <v>707</v>
      </c>
    </row>
    <row r="35" spans="1:22" ht="102" customHeight="1" x14ac:dyDescent="0.2">
      <c r="A35" s="21"/>
      <c r="B35" s="21"/>
      <c r="C35" s="21"/>
      <c r="D35" s="19" t="s">
        <v>172</v>
      </c>
      <c r="E35" s="19" t="s">
        <v>173</v>
      </c>
      <c r="F35" s="19" t="s">
        <v>174</v>
      </c>
      <c r="G35" s="19" t="s">
        <v>175</v>
      </c>
      <c r="H35" s="26" t="s">
        <v>614</v>
      </c>
      <c r="I35" s="21"/>
      <c r="J35" s="47" t="s">
        <v>783</v>
      </c>
      <c r="K35" s="50" t="s">
        <v>42</v>
      </c>
      <c r="L35" s="47" t="s">
        <v>767</v>
      </c>
      <c r="M35" s="49" t="s">
        <v>43</v>
      </c>
      <c r="N35" s="47" t="s">
        <v>768</v>
      </c>
      <c r="O35" s="48" t="s">
        <v>32</v>
      </c>
      <c r="P35" s="47" t="s">
        <v>704</v>
      </c>
      <c r="Q35" s="48" t="s">
        <v>32</v>
      </c>
      <c r="R35" s="47" t="s">
        <v>728</v>
      </c>
      <c r="S35" s="49" t="s">
        <v>44</v>
      </c>
      <c r="T35" s="52" t="s">
        <v>769</v>
      </c>
      <c r="U35" s="49" t="s">
        <v>43</v>
      </c>
      <c r="V35" s="47" t="s">
        <v>770</v>
      </c>
    </row>
    <row r="36" spans="1:22" ht="115" customHeight="1" x14ac:dyDescent="0.2">
      <c r="A36" s="21"/>
      <c r="B36" s="21"/>
      <c r="C36" s="21"/>
      <c r="D36" s="19" t="s">
        <v>176</v>
      </c>
      <c r="E36" s="19" t="s">
        <v>177</v>
      </c>
      <c r="F36" s="19" t="s">
        <v>178</v>
      </c>
      <c r="G36" s="19" t="s">
        <v>179</v>
      </c>
      <c r="H36" s="26" t="s">
        <v>615</v>
      </c>
      <c r="I36" s="21"/>
      <c r="J36" s="52" t="s">
        <v>511</v>
      </c>
      <c r="K36" s="46" t="s">
        <v>31</v>
      </c>
      <c r="L36" s="47" t="s">
        <v>685</v>
      </c>
      <c r="M36" s="49" t="s">
        <v>43</v>
      </c>
      <c r="N36" s="47" t="s">
        <v>771</v>
      </c>
      <c r="O36" s="48" t="s">
        <v>32</v>
      </c>
      <c r="P36" s="47" t="s">
        <v>704</v>
      </c>
      <c r="Q36" s="49" t="s">
        <v>43</v>
      </c>
      <c r="R36" s="54" t="s">
        <v>49</v>
      </c>
      <c r="S36" s="48" t="s">
        <v>33</v>
      </c>
      <c r="T36" s="47" t="s">
        <v>726</v>
      </c>
      <c r="U36" s="49" t="s">
        <v>43</v>
      </c>
      <c r="V36" s="47" t="s">
        <v>709</v>
      </c>
    </row>
    <row r="37" spans="1:22" ht="74" customHeight="1" x14ac:dyDescent="0.2">
      <c r="A37" s="21"/>
      <c r="B37" s="21"/>
      <c r="C37" s="21"/>
      <c r="D37" s="19" t="s">
        <v>180</v>
      </c>
      <c r="E37" s="19" t="s">
        <v>181</v>
      </c>
      <c r="F37" s="19" t="s">
        <v>182</v>
      </c>
      <c r="G37" s="19" t="s">
        <v>183</v>
      </c>
      <c r="H37" s="26" t="s">
        <v>616</v>
      </c>
      <c r="I37" s="21"/>
      <c r="J37" s="57" t="s">
        <v>511</v>
      </c>
      <c r="K37" s="46" t="s">
        <v>31</v>
      </c>
      <c r="L37" s="47" t="s">
        <v>682</v>
      </c>
      <c r="M37" s="49" t="s">
        <v>43</v>
      </c>
      <c r="N37" s="47" t="s">
        <v>772</v>
      </c>
      <c r="O37" s="48" t="s">
        <v>32</v>
      </c>
      <c r="P37" s="47" t="s">
        <v>704</v>
      </c>
      <c r="Q37" s="48" t="s">
        <v>32</v>
      </c>
      <c r="R37" s="47" t="s">
        <v>728</v>
      </c>
      <c r="S37" s="48" t="s">
        <v>33</v>
      </c>
      <c r="T37" s="47" t="s">
        <v>726</v>
      </c>
      <c r="U37" s="48" t="s">
        <v>32</v>
      </c>
      <c r="V37" s="47" t="s">
        <v>706</v>
      </c>
    </row>
    <row r="38" spans="1:22" ht="42" customHeight="1" x14ac:dyDescent="0.2">
      <c r="A38" s="21"/>
      <c r="B38" s="21"/>
      <c r="C38" s="21"/>
      <c r="D38" s="19" t="s">
        <v>184</v>
      </c>
      <c r="E38" s="19" t="s">
        <v>185</v>
      </c>
      <c r="F38" s="19" t="s">
        <v>186</v>
      </c>
      <c r="G38" s="19" t="s">
        <v>187</v>
      </c>
      <c r="H38" s="26" t="s">
        <v>617</v>
      </c>
      <c r="I38" s="21"/>
      <c r="J38" s="57" t="s">
        <v>512</v>
      </c>
      <c r="K38" s="46" t="s">
        <v>31</v>
      </c>
      <c r="L38" s="47" t="s">
        <v>682</v>
      </c>
      <c r="M38" s="48" t="s">
        <v>32</v>
      </c>
      <c r="N38" s="47" t="s">
        <v>702</v>
      </c>
      <c r="O38" s="48" t="s">
        <v>32</v>
      </c>
      <c r="P38" s="47" t="s">
        <v>704</v>
      </c>
      <c r="Q38" s="48" t="s">
        <v>32</v>
      </c>
      <c r="R38" s="47" t="s">
        <v>728</v>
      </c>
      <c r="S38" s="48" t="s">
        <v>33</v>
      </c>
      <c r="T38" s="47" t="s">
        <v>726</v>
      </c>
      <c r="U38" s="48" t="s">
        <v>32</v>
      </c>
      <c r="V38" s="47" t="s">
        <v>706</v>
      </c>
    </row>
    <row r="39" spans="1:22" ht="73" customHeight="1" x14ac:dyDescent="0.2">
      <c r="A39" s="21"/>
      <c r="B39" s="21"/>
      <c r="C39" s="21"/>
      <c r="D39" s="19" t="s">
        <v>188</v>
      </c>
      <c r="E39" s="19" t="s">
        <v>189</v>
      </c>
      <c r="F39" s="19" t="s">
        <v>190</v>
      </c>
      <c r="G39" s="19" t="s">
        <v>191</v>
      </c>
      <c r="H39" s="26" t="s">
        <v>618</v>
      </c>
      <c r="I39" s="21"/>
      <c r="J39" s="57" t="s">
        <v>513</v>
      </c>
      <c r="K39" s="46" t="s">
        <v>31</v>
      </c>
      <c r="L39" s="47" t="s">
        <v>683</v>
      </c>
      <c r="M39" s="48" t="s">
        <v>32</v>
      </c>
      <c r="N39" s="47" t="s">
        <v>702</v>
      </c>
      <c r="O39" s="48" t="s">
        <v>32</v>
      </c>
      <c r="P39" s="47" t="s">
        <v>704</v>
      </c>
      <c r="Q39" s="48" t="s">
        <v>32</v>
      </c>
      <c r="R39" s="47" t="s">
        <v>728</v>
      </c>
      <c r="S39" s="48" t="s">
        <v>33</v>
      </c>
      <c r="T39" s="47" t="s">
        <v>726</v>
      </c>
      <c r="U39" s="48" t="s">
        <v>32</v>
      </c>
      <c r="V39" s="47" t="s">
        <v>707</v>
      </c>
    </row>
    <row r="40" spans="1:22" ht="42" customHeight="1" x14ac:dyDescent="0.2">
      <c r="A40" s="21"/>
      <c r="B40" s="21"/>
      <c r="C40" s="21"/>
      <c r="D40" s="19" t="s">
        <v>192</v>
      </c>
      <c r="E40" s="19" t="s">
        <v>193</v>
      </c>
      <c r="F40" s="19" t="s">
        <v>194</v>
      </c>
      <c r="G40" s="19" t="s">
        <v>195</v>
      </c>
      <c r="H40" s="26" t="s">
        <v>619</v>
      </c>
      <c r="I40" s="21"/>
      <c r="J40" s="57" t="s">
        <v>514</v>
      </c>
      <c r="K40" s="46" t="s">
        <v>31</v>
      </c>
      <c r="L40" s="47" t="s">
        <v>682</v>
      </c>
      <c r="M40" s="48" t="s">
        <v>32</v>
      </c>
      <c r="N40" s="47" t="s">
        <v>702</v>
      </c>
      <c r="O40" s="48" t="s">
        <v>32</v>
      </c>
      <c r="P40" s="47" t="s">
        <v>704</v>
      </c>
      <c r="Q40" s="48" t="s">
        <v>32</v>
      </c>
      <c r="R40" s="47" t="s">
        <v>728</v>
      </c>
      <c r="S40" s="48" t="s">
        <v>33</v>
      </c>
      <c r="T40" s="47" t="s">
        <v>726</v>
      </c>
      <c r="U40" s="48" t="s">
        <v>32</v>
      </c>
      <c r="V40" s="47" t="s">
        <v>706</v>
      </c>
    </row>
    <row r="41" spans="1:22" ht="62" customHeight="1" x14ac:dyDescent="0.2">
      <c r="A41" s="21"/>
      <c r="B41" s="21"/>
      <c r="C41" s="21"/>
      <c r="D41" s="19" t="s">
        <v>196</v>
      </c>
      <c r="E41" s="19" t="s">
        <v>197</v>
      </c>
      <c r="F41" s="19" t="s">
        <v>198</v>
      </c>
      <c r="G41" s="19" t="s">
        <v>199</v>
      </c>
      <c r="H41" s="26" t="s">
        <v>620</v>
      </c>
      <c r="I41" s="21"/>
      <c r="J41" s="57" t="s">
        <v>515</v>
      </c>
      <c r="K41" s="55" t="s">
        <v>31</v>
      </c>
      <c r="L41" s="56" t="s">
        <v>682</v>
      </c>
      <c r="M41" s="48" t="s">
        <v>32</v>
      </c>
      <c r="N41" s="47" t="s">
        <v>702</v>
      </c>
      <c r="O41" s="48" t="s">
        <v>32</v>
      </c>
      <c r="P41" s="47" t="s">
        <v>704</v>
      </c>
      <c r="Q41" s="48" t="s">
        <v>32</v>
      </c>
      <c r="R41" s="47" t="s">
        <v>728</v>
      </c>
      <c r="S41" s="48" t="s">
        <v>33</v>
      </c>
      <c r="T41" s="47" t="s">
        <v>726</v>
      </c>
      <c r="U41" s="48" t="s">
        <v>32</v>
      </c>
      <c r="V41" s="47" t="s">
        <v>706</v>
      </c>
    </row>
    <row r="42" spans="1:22" s="14" customFormat="1" ht="76" customHeight="1" x14ac:dyDescent="0.2">
      <c r="A42" s="21"/>
      <c r="B42" s="21"/>
      <c r="C42" s="21"/>
      <c r="D42" s="19" t="s">
        <v>200</v>
      </c>
      <c r="E42" s="19" t="s">
        <v>201</v>
      </c>
      <c r="F42" s="19" t="s">
        <v>202</v>
      </c>
      <c r="G42" s="19" t="s">
        <v>61</v>
      </c>
      <c r="H42" s="26" t="s">
        <v>621</v>
      </c>
      <c r="I42" s="21"/>
      <c r="J42" s="57" t="s">
        <v>516</v>
      </c>
      <c r="K42" s="46" t="s">
        <v>31</v>
      </c>
      <c r="L42" s="47" t="s">
        <v>682</v>
      </c>
      <c r="M42" s="48" t="s">
        <v>32</v>
      </c>
      <c r="N42" s="47" t="s">
        <v>702</v>
      </c>
      <c r="O42" s="48" t="s">
        <v>32</v>
      </c>
      <c r="P42" s="47" t="s">
        <v>704</v>
      </c>
      <c r="Q42" s="48" t="s">
        <v>32</v>
      </c>
      <c r="R42" s="47" t="s">
        <v>728</v>
      </c>
      <c r="S42" s="48" t="s">
        <v>33</v>
      </c>
      <c r="T42" s="47" t="s">
        <v>726</v>
      </c>
      <c r="U42" s="48" t="s">
        <v>32</v>
      </c>
      <c r="V42" s="47" t="s">
        <v>706</v>
      </c>
    </row>
    <row r="43" spans="1:22" ht="42" customHeight="1" x14ac:dyDescent="0.2">
      <c r="A43" s="22" t="s">
        <v>203</v>
      </c>
      <c r="B43" s="22" t="s">
        <v>204</v>
      </c>
      <c r="C43" s="22" t="s">
        <v>205</v>
      </c>
      <c r="D43" s="23" t="s">
        <v>206</v>
      </c>
      <c r="E43" s="23" t="s">
        <v>207</v>
      </c>
      <c r="F43" s="23" t="s">
        <v>208</v>
      </c>
      <c r="G43" s="23" t="s">
        <v>209</v>
      </c>
      <c r="H43" s="26" t="s">
        <v>622</v>
      </c>
      <c r="I43" s="24"/>
      <c r="J43" s="57" t="s">
        <v>517</v>
      </c>
      <c r="K43" s="46" t="s">
        <v>31</v>
      </c>
      <c r="L43" s="47" t="s">
        <v>684</v>
      </c>
      <c r="M43" s="48" t="s">
        <v>32</v>
      </c>
      <c r="N43" s="47" t="s">
        <v>702</v>
      </c>
      <c r="O43" s="48" t="s">
        <v>32</v>
      </c>
      <c r="P43" s="47" t="s">
        <v>704</v>
      </c>
      <c r="Q43" s="48" t="s">
        <v>32</v>
      </c>
      <c r="R43" s="47" t="s">
        <v>728</v>
      </c>
      <c r="S43" s="48" t="s">
        <v>33</v>
      </c>
      <c r="T43" s="47" t="s">
        <v>726</v>
      </c>
      <c r="U43" s="48" t="s">
        <v>32</v>
      </c>
      <c r="V43" s="47" t="s">
        <v>708</v>
      </c>
    </row>
    <row r="44" spans="1:22" ht="105" customHeight="1" x14ac:dyDescent="0.2">
      <c r="A44" s="25"/>
      <c r="B44" s="25"/>
      <c r="C44" s="25"/>
      <c r="D44" s="26" t="s">
        <v>210</v>
      </c>
      <c r="E44" s="26" t="s">
        <v>211</v>
      </c>
      <c r="F44" s="26" t="s">
        <v>212</v>
      </c>
      <c r="G44" s="26" t="s">
        <v>213</v>
      </c>
      <c r="H44" s="26" t="s">
        <v>623</v>
      </c>
      <c r="I44" s="25"/>
      <c r="J44" s="57" t="s">
        <v>518</v>
      </c>
      <c r="K44" s="46" t="s">
        <v>31</v>
      </c>
      <c r="L44" s="47" t="s">
        <v>684</v>
      </c>
      <c r="M44" s="48" t="s">
        <v>32</v>
      </c>
      <c r="N44" s="47" t="s">
        <v>702</v>
      </c>
      <c r="O44" s="48" t="s">
        <v>32</v>
      </c>
      <c r="P44" s="47" t="s">
        <v>704</v>
      </c>
      <c r="Q44" s="48" t="s">
        <v>32</v>
      </c>
      <c r="R44" s="47" t="s">
        <v>728</v>
      </c>
      <c r="S44" s="48" t="s">
        <v>33</v>
      </c>
      <c r="T44" s="47" t="s">
        <v>726</v>
      </c>
      <c r="U44" s="48" t="s">
        <v>32</v>
      </c>
      <c r="V44" s="47" t="s">
        <v>708</v>
      </c>
    </row>
    <row r="45" spans="1:22" ht="42" customHeight="1" x14ac:dyDescent="0.2">
      <c r="A45" s="27"/>
      <c r="B45" s="27"/>
      <c r="C45" s="27"/>
      <c r="D45" s="28" t="s">
        <v>217</v>
      </c>
      <c r="E45" s="28" t="s">
        <v>218</v>
      </c>
      <c r="F45" s="28" t="s">
        <v>219</v>
      </c>
      <c r="G45" s="28" t="s">
        <v>156</v>
      </c>
      <c r="H45" s="26" t="s">
        <v>624</v>
      </c>
      <c r="I45" s="27"/>
      <c r="J45" s="57" t="s">
        <v>519</v>
      </c>
      <c r="K45" s="50" t="s">
        <v>42</v>
      </c>
      <c r="L45" s="47" t="s">
        <v>689</v>
      </c>
      <c r="M45" s="49" t="s">
        <v>43</v>
      </c>
      <c r="N45" s="47" t="s">
        <v>703</v>
      </c>
      <c r="O45" s="48" t="s">
        <v>32</v>
      </c>
      <c r="P45" s="47" t="s">
        <v>704</v>
      </c>
      <c r="Q45" s="49" t="s">
        <v>43</v>
      </c>
      <c r="R45" s="47" t="s">
        <v>729</v>
      </c>
      <c r="S45" s="49" t="s">
        <v>44</v>
      </c>
      <c r="T45" s="47" t="s">
        <v>727</v>
      </c>
      <c r="U45" s="49" t="s">
        <v>43</v>
      </c>
      <c r="V45" s="47" t="s">
        <v>713</v>
      </c>
    </row>
    <row r="46" spans="1:22" ht="42" customHeight="1" x14ac:dyDescent="0.2">
      <c r="A46" s="21"/>
      <c r="B46" s="21"/>
      <c r="C46" s="21"/>
      <c r="D46" s="19" t="s">
        <v>220</v>
      </c>
      <c r="E46" s="19" t="s">
        <v>221</v>
      </c>
      <c r="F46" s="19" t="s">
        <v>222</v>
      </c>
      <c r="G46" s="19" t="s">
        <v>223</v>
      </c>
      <c r="H46" s="26" t="s">
        <v>625</v>
      </c>
      <c r="I46" s="21"/>
      <c r="J46" s="57" t="s">
        <v>520</v>
      </c>
      <c r="K46" s="46" t="s">
        <v>31</v>
      </c>
      <c r="L46" s="47" t="s">
        <v>684</v>
      </c>
      <c r="M46" s="48" t="s">
        <v>32</v>
      </c>
      <c r="N46" s="47" t="s">
        <v>702</v>
      </c>
      <c r="O46" s="48" t="s">
        <v>32</v>
      </c>
      <c r="P46" s="47" t="s">
        <v>704</v>
      </c>
      <c r="Q46" s="48" t="s">
        <v>32</v>
      </c>
      <c r="R46" s="47" t="s">
        <v>728</v>
      </c>
      <c r="S46" s="48" t="s">
        <v>33</v>
      </c>
      <c r="T46" s="47" t="s">
        <v>726</v>
      </c>
      <c r="U46" s="48" t="s">
        <v>32</v>
      </c>
      <c r="V46" s="47" t="s">
        <v>708</v>
      </c>
    </row>
    <row r="47" spans="1:22" ht="81" customHeight="1" x14ac:dyDescent="0.2">
      <c r="A47" s="21"/>
      <c r="B47" s="21"/>
      <c r="C47" s="21"/>
      <c r="D47" s="19" t="s">
        <v>224</v>
      </c>
      <c r="E47" s="19" t="s">
        <v>225</v>
      </c>
      <c r="F47" s="19" t="s">
        <v>226</v>
      </c>
      <c r="G47" s="19" t="s">
        <v>227</v>
      </c>
      <c r="H47" s="26" t="s">
        <v>626</v>
      </c>
      <c r="I47" s="21"/>
      <c r="J47" s="57" t="s">
        <v>521</v>
      </c>
      <c r="K47" s="46" t="s">
        <v>31</v>
      </c>
      <c r="L47" s="47" t="s">
        <v>684</v>
      </c>
      <c r="M47" s="48" t="s">
        <v>32</v>
      </c>
      <c r="N47" s="47" t="s">
        <v>702</v>
      </c>
      <c r="O47" s="48" t="s">
        <v>32</v>
      </c>
      <c r="P47" s="47" t="s">
        <v>704</v>
      </c>
      <c r="Q47" s="49" t="s">
        <v>43</v>
      </c>
      <c r="R47" s="47" t="s">
        <v>773</v>
      </c>
      <c r="S47" s="48" t="s">
        <v>33</v>
      </c>
      <c r="T47" s="47" t="s">
        <v>726</v>
      </c>
      <c r="U47" s="48" t="s">
        <v>32</v>
      </c>
      <c r="V47" s="47" t="s">
        <v>708</v>
      </c>
    </row>
    <row r="48" spans="1:22" ht="72" customHeight="1" x14ac:dyDescent="0.2">
      <c r="A48" s="21"/>
      <c r="B48" s="21"/>
      <c r="C48" s="21"/>
      <c r="D48" s="19" t="s">
        <v>228</v>
      </c>
      <c r="E48" s="19" t="s">
        <v>229</v>
      </c>
      <c r="F48" s="19" t="s">
        <v>230</v>
      </c>
      <c r="G48" s="19" t="s">
        <v>231</v>
      </c>
      <c r="H48" s="26" t="s">
        <v>627</v>
      </c>
      <c r="I48" s="21"/>
      <c r="J48" s="57" t="s">
        <v>522</v>
      </c>
      <c r="K48" s="50" t="s">
        <v>42</v>
      </c>
      <c r="L48" s="47" t="s">
        <v>690</v>
      </c>
      <c r="M48" s="49" t="s">
        <v>43</v>
      </c>
      <c r="N48" s="47" t="s">
        <v>703</v>
      </c>
      <c r="O48" s="48" t="s">
        <v>32</v>
      </c>
      <c r="P48" s="47" t="s">
        <v>704</v>
      </c>
      <c r="Q48" s="49" t="s">
        <v>43</v>
      </c>
      <c r="R48" s="47" t="s">
        <v>729</v>
      </c>
      <c r="S48" s="49" t="s">
        <v>44</v>
      </c>
      <c r="T48" s="47" t="s">
        <v>727</v>
      </c>
      <c r="U48" s="49" t="s">
        <v>43</v>
      </c>
      <c r="V48" s="47" t="s">
        <v>714</v>
      </c>
    </row>
    <row r="49" spans="1:22" ht="78" customHeight="1" x14ac:dyDescent="0.2">
      <c r="A49" s="24"/>
      <c r="B49" s="24"/>
      <c r="C49" s="24"/>
      <c r="D49" s="23" t="s">
        <v>232</v>
      </c>
      <c r="E49" s="23" t="s">
        <v>233</v>
      </c>
      <c r="F49" s="23" t="s">
        <v>234</v>
      </c>
      <c r="G49" s="23" t="s">
        <v>235</v>
      </c>
      <c r="H49" s="26" t="s">
        <v>628</v>
      </c>
      <c r="I49" s="24"/>
      <c r="J49" s="57" t="s">
        <v>523</v>
      </c>
      <c r="K49" s="50" t="s">
        <v>42</v>
      </c>
      <c r="L49" s="47" t="s">
        <v>691</v>
      </c>
      <c r="M49" s="49" t="s">
        <v>43</v>
      </c>
      <c r="N49" s="47" t="s">
        <v>703</v>
      </c>
      <c r="O49" s="48" t="s">
        <v>32</v>
      </c>
      <c r="P49" s="47" t="s">
        <v>704</v>
      </c>
      <c r="Q49" s="49" t="s">
        <v>43</v>
      </c>
      <c r="R49" s="47" t="s">
        <v>729</v>
      </c>
      <c r="S49" s="49" t="s">
        <v>44</v>
      </c>
      <c r="T49" s="47" t="s">
        <v>727</v>
      </c>
      <c r="U49" s="49" t="s">
        <v>43</v>
      </c>
      <c r="V49" s="47" t="s">
        <v>715</v>
      </c>
    </row>
    <row r="50" spans="1:22" ht="99" customHeight="1" x14ac:dyDescent="0.2">
      <c r="A50" s="25"/>
      <c r="B50" s="25"/>
      <c r="C50" s="25"/>
      <c r="D50" s="26" t="s">
        <v>236</v>
      </c>
      <c r="E50" s="26" t="s">
        <v>237</v>
      </c>
      <c r="F50" s="26" t="s">
        <v>238</v>
      </c>
      <c r="G50" s="26" t="s">
        <v>239</v>
      </c>
      <c r="H50" s="26" t="s">
        <v>629</v>
      </c>
      <c r="I50" s="25"/>
      <c r="J50" s="57" t="s">
        <v>524</v>
      </c>
      <c r="K50" s="46" t="s">
        <v>31</v>
      </c>
      <c r="L50" s="47" t="s">
        <v>684</v>
      </c>
      <c r="M50" s="48" t="s">
        <v>32</v>
      </c>
      <c r="N50" s="47" t="s">
        <v>702</v>
      </c>
      <c r="O50" s="48" t="s">
        <v>32</v>
      </c>
      <c r="P50" s="47" t="s">
        <v>704</v>
      </c>
      <c r="Q50" s="48" t="s">
        <v>32</v>
      </c>
      <c r="R50" s="47" t="s">
        <v>728</v>
      </c>
      <c r="S50" s="48" t="s">
        <v>33</v>
      </c>
      <c r="T50" s="47" t="s">
        <v>726</v>
      </c>
      <c r="U50" s="48" t="s">
        <v>32</v>
      </c>
      <c r="V50" s="47" t="s">
        <v>708</v>
      </c>
    </row>
    <row r="51" spans="1:22" ht="83" customHeight="1" x14ac:dyDescent="0.2">
      <c r="A51" s="25"/>
      <c r="B51" s="25"/>
      <c r="C51" s="25"/>
      <c r="D51" s="26" t="s">
        <v>240</v>
      </c>
      <c r="E51" s="26" t="s">
        <v>241</v>
      </c>
      <c r="F51" s="26" t="s">
        <v>242</v>
      </c>
      <c r="G51" s="26" t="s">
        <v>243</v>
      </c>
      <c r="H51" s="26" t="s">
        <v>630</v>
      </c>
      <c r="I51" s="25"/>
      <c r="J51" s="57" t="s">
        <v>525</v>
      </c>
      <c r="K51" s="46" t="s">
        <v>31</v>
      </c>
      <c r="L51" s="47" t="s">
        <v>684</v>
      </c>
      <c r="M51" s="48" t="s">
        <v>32</v>
      </c>
      <c r="N51" s="47" t="s">
        <v>702</v>
      </c>
      <c r="O51" s="48" t="s">
        <v>32</v>
      </c>
      <c r="P51" s="47" t="s">
        <v>704</v>
      </c>
      <c r="Q51" s="48" t="s">
        <v>32</v>
      </c>
      <c r="R51" s="47" t="s">
        <v>728</v>
      </c>
      <c r="S51" s="48" t="s">
        <v>33</v>
      </c>
      <c r="T51" s="47" t="s">
        <v>726</v>
      </c>
      <c r="U51" s="48" t="s">
        <v>32</v>
      </c>
      <c r="V51" s="47" t="s">
        <v>708</v>
      </c>
    </row>
    <row r="52" spans="1:22" ht="106" customHeight="1" x14ac:dyDescent="0.2">
      <c r="A52" s="27"/>
      <c r="B52" s="27"/>
      <c r="C52" s="27"/>
      <c r="D52" s="28" t="s">
        <v>244</v>
      </c>
      <c r="E52" s="28" t="s">
        <v>245</v>
      </c>
      <c r="F52" s="28" t="s">
        <v>246</v>
      </c>
      <c r="G52" s="28" t="s">
        <v>247</v>
      </c>
      <c r="H52" s="26" t="s">
        <v>631</v>
      </c>
      <c r="I52" s="27"/>
      <c r="J52" s="57" t="s">
        <v>526</v>
      </c>
      <c r="K52" s="46" t="s">
        <v>31</v>
      </c>
      <c r="L52" s="47" t="s">
        <v>684</v>
      </c>
      <c r="M52" s="48" t="s">
        <v>32</v>
      </c>
      <c r="N52" s="47" t="s">
        <v>702</v>
      </c>
      <c r="O52" s="48" t="s">
        <v>32</v>
      </c>
      <c r="P52" s="47" t="s">
        <v>704</v>
      </c>
      <c r="Q52" s="49" t="s">
        <v>43</v>
      </c>
      <c r="R52" s="47" t="s">
        <v>729</v>
      </c>
      <c r="S52" s="48" t="s">
        <v>33</v>
      </c>
      <c r="T52" s="47" t="s">
        <v>726</v>
      </c>
      <c r="U52" s="48" t="s">
        <v>32</v>
      </c>
      <c r="V52" s="47" t="s">
        <v>708</v>
      </c>
    </row>
    <row r="53" spans="1:22" ht="42" customHeight="1" x14ac:dyDescent="0.2">
      <c r="A53" s="18" t="s">
        <v>248</v>
      </c>
      <c r="B53" s="18" t="s">
        <v>249</v>
      </c>
      <c r="C53" s="18" t="s">
        <v>250</v>
      </c>
      <c r="D53" s="19" t="s">
        <v>251</v>
      </c>
      <c r="E53" s="19" t="s">
        <v>252</v>
      </c>
      <c r="F53" s="19" t="s">
        <v>123</v>
      </c>
      <c r="G53" s="19" t="s">
        <v>253</v>
      </c>
      <c r="H53" s="26" t="s">
        <v>632</v>
      </c>
      <c r="I53" s="21"/>
      <c r="J53" s="57" t="s">
        <v>527</v>
      </c>
      <c r="K53" s="46" t="s">
        <v>31</v>
      </c>
      <c r="L53" s="47" t="s">
        <v>682</v>
      </c>
      <c r="M53" s="48" t="s">
        <v>32</v>
      </c>
      <c r="N53" s="47" t="s">
        <v>702</v>
      </c>
      <c r="O53" s="48" t="s">
        <v>32</v>
      </c>
      <c r="P53" s="47" t="s">
        <v>704</v>
      </c>
      <c r="Q53" s="48" t="s">
        <v>32</v>
      </c>
      <c r="R53" s="47" t="s">
        <v>728</v>
      </c>
      <c r="S53" s="48" t="s">
        <v>33</v>
      </c>
      <c r="T53" s="47" t="s">
        <v>726</v>
      </c>
      <c r="U53" s="48" t="s">
        <v>32</v>
      </c>
      <c r="V53" s="47" t="s">
        <v>706</v>
      </c>
    </row>
    <row r="54" spans="1:22" ht="42" customHeight="1" x14ac:dyDescent="0.2">
      <c r="A54" s="21"/>
      <c r="B54" s="21"/>
      <c r="C54" s="21"/>
      <c r="D54" s="19" t="s">
        <v>254</v>
      </c>
      <c r="E54" s="19" t="s">
        <v>255</v>
      </c>
      <c r="F54" s="19" t="s">
        <v>256</v>
      </c>
      <c r="G54" s="19" t="s">
        <v>257</v>
      </c>
      <c r="H54" s="26" t="s">
        <v>633</v>
      </c>
      <c r="I54" s="21"/>
      <c r="J54" s="57" t="s">
        <v>528</v>
      </c>
      <c r="K54" s="46" t="s">
        <v>31</v>
      </c>
      <c r="L54" s="47" t="s">
        <v>685</v>
      </c>
      <c r="M54" s="48" t="s">
        <v>32</v>
      </c>
      <c r="N54" s="47" t="s">
        <v>702</v>
      </c>
      <c r="O54" s="48" t="s">
        <v>32</v>
      </c>
      <c r="P54" s="47" t="s">
        <v>704</v>
      </c>
      <c r="Q54" s="48" t="s">
        <v>32</v>
      </c>
      <c r="R54" s="47" t="s">
        <v>728</v>
      </c>
      <c r="S54" s="48" t="s">
        <v>33</v>
      </c>
      <c r="T54" s="47" t="s">
        <v>726</v>
      </c>
      <c r="U54" s="48" t="s">
        <v>32</v>
      </c>
      <c r="V54" s="47" t="s">
        <v>709</v>
      </c>
    </row>
    <row r="55" spans="1:22" ht="42" customHeight="1" x14ac:dyDescent="0.2">
      <c r="A55" s="21"/>
      <c r="B55" s="21"/>
      <c r="C55" s="21"/>
      <c r="D55" s="19" t="s">
        <v>258</v>
      </c>
      <c r="E55" s="19" t="s">
        <v>259</v>
      </c>
      <c r="F55" s="19" t="s">
        <v>260</v>
      </c>
      <c r="G55" s="19" t="s">
        <v>140</v>
      </c>
      <c r="H55" s="26" t="s">
        <v>634</v>
      </c>
      <c r="I55" s="21"/>
      <c r="J55" s="57" t="s">
        <v>529</v>
      </c>
      <c r="K55" s="46" t="s">
        <v>31</v>
      </c>
      <c r="L55" s="47" t="s">
        <v>685</v>
      </c>
      <c r="M55" s="48" t="s">
        <v>32</v>
      </c>
      <c r="N55" s="47" t="s">
        <v>702</v>
      </c>
      <c r="O55" s="48" t="s">
        <v>32</v>
      </c>
      <c r="P55" s="47" t="s">
        <v>704</v>
      </c>
      <c r="Q55" s="48" t="s">
        <v>32</v>
      </c>
      <c r="R55" s="47" t="s">
        <v>728</v>
      </c>
      <c r="S55" s="48" t="s">
        <v>33</v>
      </c>
      <c r="T55" s="47" t="s">
        <v>726</v>
      </c>
      <c r="U55" s="48" t="s">
        <v>32</v>
      </c>
      <c r="V55" s="47" t="s">
        <v>709</v>
      </c>
    </row>
    <row r="56" spans="1:22" ht="42" customHeight="1" x14ac:dyDescent="0.2">
      <c r="A56" s="21"/>
      <c r="B56" s="21"/>
      <c r="C56" s="21"/>
      <c r="D56" s="19" t="s">
        <v>261</v>
      </c>
      <c r="E56" s="19" t="s">
        <v>262</v>
      </c>
      <c r="F56" s="19" t="s">
        <v>263</v>
      </c>
      <c r="G56" s="19" t="s">
        <v>264</v>
      </c>
      <c r="H56" s="26" t="s">
        <v>635</v>
      </c>
      <c r="I56" s="21"/>
      <c r="J56" s="57" t="s">
        <v>530</v>
      </c>
      <c r="K56" s="46" t="s">
        <v>31</v>
      </c>
      <c r="L56" s="47" t="s">
        <v>682</v>
      </c>
      <c r="M56" s="48" t="s">
        <v>32</v>
      </c>
      <c r="N56" s="47" t="s">
        <v>702</v>
      </c>
      <c r="O56" s="48" t="s">
        <v>32</v>
      </c>
      <c r="P56" s="47" t="s">
        <v>704</v>
      </c>
      <c r="Q56" s="48" t="s">
        <v>32</v>
      </c>
      <c r="R56" s="47" t="s">
        <v>728</v>
      </c>
      <c r="S56" s="48" t="s">
        <v>33</v>
      </c>
      <c r="T56" s="47" t="s">
        <v>726</v>
      </c>
      <c r="U56" s="48" t="s">
        <v>32</v>
      </c>
      <c r="V56" s="47" t="s">
        <v>706</v>
      </c>
    </row>
    <row r="57" spans="1:22" ht="42" customHeight="1" x14ac:dyDescent="0.2">
      <c r="A57" s="21"/>
      <c r="B57" s="21"/>
      <c r="C57" s="21"/>
      <c r="D57" s="19" t="s">
        <v>265</v>
      </c>
      <c r="E57" s="19" t="s">
        <v>266</v>
      </c>
      <c r="F57" s="19" t="s">
        <v>267</v>
      </c>
      <c r="G57" s="19" t="s">
        <v>268</v>
      </c>
      <c r="H57" s="26" t="s">
        <v>636</v>
      </c>
      <c r="I57" s="21"/>
      <c r="J57" s="57" t="s">
        <v>531</v>
      </c>
      <c r="K57" s="46" t="s">
        <v>31</v>
      </c>
      <c r="L57" s="47" t="s">
        <v>682</v>
      </c>
      <c r="M57" s="48" t="s">
        <v>32</v>
      </c>
      <c r="N57" s="47" t="s">
        <v>702</v>
      </c>
      <c r="O57" s="48" t="s">
        <v>32</v>
      </c>
      <c r="P57" s="47" t="s">
        <v>704</v>
      </c>
      <c r="Q57" s="48" t="s">
        <v>32</v>
      </c>
      <c r="R57" s="47" t="s">
        <v>728</v>
      </c>
      <c r="S57" s="48" t="s">
        <v>33</v>
      </c>
      <c r="T57" s="47" t="s">
        <v>726</v>
      </c>
      <c r="U57" s="48" t="s">
        <v>32</v>
      </c>
      <c r="V57" s="47" t="s">
        <v>706</v>
      </c>
    </row>
    <row r="58" spans="1:22" ht="42" customHeight="1" x14ac:dyDescent="0.2">
      <c r="A58" s="21"/>
      <c r="B58" s="21"/>
      <c r="C58" s="21"/>
      <c r="D58" s="19" t="s">
        <v>269</v>
      </c>
      <c r="E58" s="19" t="s">
        <v>270</v>
      </c>
      <c r="F58" s="19" t="s">
        <v>271</v>
      </c>
      <c r="G58" s="19" t="s">
        <v>272</v>
      </c>
      <c r="H58" s="26" t="s">
        <v>637</v>
      </c>
      <c r="I58" s="21"/>
      <c r="J58" s="57" t="s">
        <v>532</v>
      </c>
      <c r="K58" s="46" t="s">
        <v>31</v>
      </c>
      <c r="L58" s="47" t="s">
        <v>682</v>
      </c>
      <c r="M58" s="48" t="s">
        <v>32</v>
      </c>
      <c r="N58" s="47" t="s">
        <v>702</v>
      </c>
      <c r="O58" s="48" t="s">
        <v>32</v>
      </c>
      <c r="P58" s="47" t="s">
        <v>704</v>
      </c>
      <c r="Q58" s="48" t="s">
        <v>32</v>
      </c>
      <c r="R58" s="47" t="s">
        <v>728</v>
      </c>
      <c r="S58" s="48" t="s">
        <v>33</v>
      </c>
      <c r="T58" s="47" t="s">
        <v>726</v>
      </c>
      <c r="U58" s="48" t="s">
        <v>32</v>
      </c>
      <c r="V58" s="47" t="s">
        <v>706</v>
      </c>
    </row>
    <row r="59" spans="1:22" ht="42" customHeight="1" x14ac:dyDescent="0.2">
      <c r="A59" s="21"/>
      <c r="B59" s="21"/>
      <c r="C59" s="21"/>
      <c r="D59" s="19" t="s">
        <v>273</v>
      </c>
      <c r="E59" s="19" t="s">
        <v>274</v>
      </c>
      <c r="F59" s="19" t="s">
        <v>275</v>
      </c>
      <c r="G59" s="19" t="s">
        <v>276</v>
      </c>
      <c r="H59" s="26" t="s">
        <v>638</v>
      </c>
      <c r="I59" s="21"/>
      <c r="J59" s="57" t="s">
        <v>533</v>
      </c>
      <c r="K59" s="46" t="s">
        <v>31</v>
      </c>
      <c r="L59" s="47" t="s">
        <v>683</v>
      </c>
      <c r="M59" s="48" t="s">
        <v>32</v>
      </c>
      <c r="N59" s="47" t="s">
        <v>702</v>
      </c>
      <c r="O59" s="48" t="s">
        <v>32</v>
      </c>
      <c r="P59" s="47" t="s">
        <v>704</v>
      </c>
      <c r="Q59" s="48" t="s">
        <v>32</v>
      </c>
      <c r="R59" s="47" t="s">
        <v>728</v>
      </c>
      <c r="S59" s="48" t="s">
        <v>33</v>
      </c>
      <c r="T59" s="47" t="s">
        <v>726</v>
      </c>
      <c r="U59" s="48" t="s">
        <v>32</v>
      </c>
      <c r="V59" s="47" t="s">
        <v>707</v>
      </c>
    </row>
    <row r="60" spans="1:22" ht="42" customHeight="1" x14ac:dyDescent="0.2">
      <c r="A60" s="21"/>
      <c r="B60" s="21"/>
      <c r="C60" s="21"/>
      <c r="D60" s="19" t="s">
        <v>277</v>
      </c>
      <c r="E60" s="19" t="s">
        <v>278</v>
      </c>
      <c r="F60" s="19" t="s">
        <v>279</v>
      </c>
      <c r="G60" s="19" t="s">
        <v>280</v>
      </c>
      <c r="H60" s="26" t="s">
        <v>639</v>
      </c>
      <c r="I60" s="21"/>
      <c r="J60" s="57" t="s">
        <v>534</v>
      </c>
      <c r="K60" s="46" t="s">
        <v>31</v>
      </c>
      <c r="L60" s="47" t="s">
        <v>682</v>
      </c>
      <c r="M60" s="48" t="s">
        <v>32</v>
      </c>
      <c r="N60" s="47" t="s">
        <v>702</v>
      </c>
      <c r="O60" s="48" t="s">
        <v>32</v>
      </c>
      <c r="P60" s="47" t="s">
        <v>704</v>
      </c>
      <c r="Q60" s="48" t="s">
        <v>32</v>
      </c>
      <c r="R60" s="47" t="s">
        <v>728</v>
      </c>
      <c r="S60" s="48" t="s">
        <v>33</v>
      </c>
      <c r="T60" s="47" t="s">
        <v>726</v>
      </c>
      <c r="U60" s="48" t="s">
        <v>32</v>
      </c>
      <c r="V60" s="47" t="s">
        <v>706</v>
      </c>
    </row>
    <row r="61" spans="1:22" ht="42" customHeight="1" x14ac:dyDescent="0.2">
      <c r="A61" s="21"/>
      <c r="B61" s="21"/>
      <c r="C61" s="21"/>
      <c r="D61" s="19" t="s">
        <v>281</v>
      </c>
      <c r="E61" s="19" t="s">
        <v>282</v>
      </c>
      <c r="F61" s="19" t="s">
        <v>283</v>
      </c>
      <c r="G61" s="19" t="s">
        <v>284</v>
      </c>
      <c r="H61" s="26" t="s">
        <v>640</v>
      </c>
      <c r="I61" s="21"/>
      <c r="J61" s="57" t="s">
        <v>535</v>
      </c>
      <c r="K61" s="46" t="s">
        <v>31</v>
      </c>
      <c r="L61" s="47" t="s">
        <v>682</v>
      </c>
      <c r="M61" s="48" t="s">
        <v>32</v>
      </c>
      <c r="N61" s="47" t="s">
        <v>702</v>
      </c>
      <c r="O61" s="48" t="s">
        <v>32</v>
      </c>
      <c r="P61" s="47" t="s">
        <v>704</v>
      </c>
      <c r="Q61" s="48" t="s">
        <v>32</v>
      </c>
      <c r="R61" s="47" t="s">
        <v>728</v>
      </c>
      <c r="S61" s="48" t="s">
        <v>33</v>
      </c>
      <c r="T61" s="47" t="s">
        <v>726</v>
      </c>
      <c r="U61" s="48" t="s">
        <v>32</v>
      </c>
      <c r="V61" s="47" t="s">
        <v>706</v>
      </c>
    </row>
    <row r="62" spans="1:22" ht="42" customHeight="1" x14ac:dyDescent="0.2">
      <c r="A62" s="21"/>
      <c r="B62" s="21"/>
      <c r="C62" s="21"/>
      <c r="D62" s="19" t="s">
        <v>285</v>
      </c>
      <c r="E62" s="19" t="s">
        <v>286</v>
      </c>
      <c r="F62" s="19" t="s">
        <v>287</v>
      </c>
      <c r="G62" s="19" t="s">
        <v>288</v>
      </c>
      <c r="H62" s="26" t="s">
        <v>641</v>
      </c>
      <c r="I62" s="21"/>
      <c r="J62" s="57" t="s">
        <v>536</v>
      </c>
      <c r="K62" s="46" t="s">
        <v>31</v>
      </c>
      <c r="L62" s="47" t="s">
        <v>682</v>
      </c>
      <c r="M62" s="48" t="s">
        <v>32</v>
      </c>
      <c r="N62" s="47" t="s">
        <v>702</v>
      </c>
      <c r="O62" s="48" t="s">
        <v>32</v>
      </c>
      <c r="P62" s="47" t="s">
        <v>704</v>
      </c>
      <c r="Q62" s="48" t="s">
        <v>32</v>
      </c>
      <c r="R62" s="47" t="s">
        <v>728</v>
      </c>
      <c r="S62" s="48" t="s">
        <v>33</v>
      </c>
      <c r="T62" s="47" t="s">
        <v>726</v>
      </c>
      <c r="U62" s="48" t="s">
        <v>32</v>
      </c>
      <c r="V62" s="47" t="s">
        <v>706</v>
      </c>
    </row>
    <row r="63" spans="1:22" ht="42" customHeight="1" x14ac:dyDescent="0.2">
      <c r="A63" s="18" t="s">
        <v>289</v>
      </c>
      <c r="B63" s="18" t="s">
        <v>290</v>
      </c>
      <c r="C63" s="18" t="s">
        <v>291</v>
      </c>
      <c r="D63" s="19" t="s">
        <v>292</v>
      </c>
      <c r="E63" s="19" t="s">
        <v>293</v>
      </c>
      <c r="F63" s="19" t="s">
        <v>104</v>
      </c>
      <c r="G63" s="19" t="s">
        <v>294</v>
      </c>
      <c r="H63" s="26" t="s">
        <v>642</v>
      </c>
      <c r="I63" s="21"/>
      <c r="J63" s="57" t="s">
        <v>537</v>
      </c>
      <c r="K63" s="46" t="s">
        <v>31</v>
      </c>
      <c r="L63" s="47" t="s">
        <v>685</v>
      </c>
      <c r="M63" s="48" t="s">
        <v>32</v>
      </c>
      <c r="N63" s="47" t="s">
        <v>702</v>
      </c>
      <c r="O63" s="48" t="s">
        <v>32</v>
      </c>
      <c r="P63" s="47" t="s">
        <v>704</v>
      </c>
      <c r="Q63" s="48" t="s">
        <v>32</v>
      </c>
      <c r="R63" s="47" t="s">
        <v>728</v>
      </c>
      <c r="S63" s="48" t="s">
        <v>33</v>
      </c>
      <c r="T63" s="47" t="s">
        <v>726</v>
      </c>
      <c r="U63" s="48" t="s">
        <v>32</v>
      </c>
      <c r="V63" s="47" t="s">
        <v>709</v>
      </c>
    </row>
    <row r="64" spans="1:22" ht="42" customHeight="1" x14ac:dyDescent="0.2">
      <c r="A64" s="21"/>
      <c r="B64" s="21"/>
      <c r="C64" s="21"/>
      <c r="D64" s="19" t="s">
        <v>295</v>
      </c>
      <c r="E64" s="19" t="s">
        <v>296</v>
      </c>
      <c r="F64" s="19" t="s">
        <v>112</v>
      </c>
      <c r="G64" s="19" t="s">
        <v>113</v>
      </c>
      <c r="H64" s="26" t="s">
        <v>643</v>
      </c>
      <c r="I64" s="21"/>
      <c r="J64" s="57" t="s">
        <v>538</v>
      </c>
      <c r="K64" s="46" t="s">
        <v>31</v>
      </c>
      <c r="L64" s="47" t="s">
        <v>685</v>
      </c>
      <c r="M64" s="48" t="s">
        <v>32</v>
      </c>
      <c r="N64" s="47" t="s">
        <v>702</v>
      </c>
      <c r="O64" s="48" t="s">
        <v>32</v>
      </c>
      <c r="P64" s="47" t="s">
        <v>704</v>
      </c>
      <c r="Q64" s="48" t="s">
        <v>32</v>
      </c>
      <c r="R64" s="47" t="s">
        <v>728</v>
      </c>
      <c r="S64" s="48" t="s">
        <v>33</v>
      </c>
      <c r="T64" s="47" t="s">
        <v>726</v>
      </c>
      <c r="U64" s="48" t="s">
        <v>32</v>
      </c>
      <c r="V64" s="47" t="s">
        <v>709</v>
      </c>
    </row>
    <row r="65" spans="1:22" ht="42" customHeight="1" x14ac:dyDescent="0.2">
      <c r="A65" s="21"/>
      <c r="B65" s="21"/>
      <c r="C65" s="21"/>
      <c r="D65" s="19" t="s">
        <v>297</v>
      </c>
      <c r="E65" s="19" t="s">
        <v>298</v>
      </c>
      <c r="F65" s="19" t="s">
        <v>299</v>
      </c>
      <c r="G65" s="19" t="s">
        <v>300</v>
      </c>
      <c r="H65" s="26" t="s">
        <v>644</v>
      </c>
      <c r="I65" s="21"/>
      <c r="J65" s="57" t="s">
        <v>539</v>
      </c>
      <c r="K65" s="46" t="s">
        <v>31</v>
      </c>
      <c r="L65" s="47" t="s">
        <v>685</v>
      </c>
      <c r="M65" s="48" t="s">
        <v>32</v>
      </c>
      <c r="N65" s="47" t="s">
        <v>702</v>
      </c>
      <c r="O65" s="48" t="s">
        <v>32</v>
      </c>
      <c r="P65" s="47" t="s">
        <v>704</v>
      </c>
      <c r="Q65" s="48" t="s">
        <v>32</v>
      </c>
      <c r="R65" s="47" t="s">
        <v>728</v>
      </c>
      <c r="S65" s="48" t="s">
        <v>33</v>
      </c>
      <c r="T65" s="47" t="s">
        <v>726</v>
      </c>
      <c r="U65" s="48" t="s">
        <v>32</v>
      </c>
      <c r="V65" s="47" t="s">
        <v>709</v>
      </c>
    </row>
    <row r="66" spans="1:22" ht="136" customHeight="1" x14ac:dyDescent="0.2">
      <c r="A66" s="21"/>
      <c r="B66" s="21"/>
      <c r="C66" s="21"/>
      <c r="D66" s="19" t="s">
        <v>301</v>
      </c>
      <c r="E66" s="19" t="s">
        <v>302</v>
      </c>
      <c r="F66" s="19" t="s">
        <v>178</v>
      </c>
      <c r="G66" s="19" t="s">
        <v>148</v>
      </c>
      <c r="H66" s="26" t="s">
        <v>645</v>
      </c>
      <c r="I66" s="21"/>
      <c r="J66" s="57" t="s">
        <v>540</v>
      </c>
      <c r="K66" s="50" t="s">
        <v>42</v>
      </c>
      <c r="L66" s="47" t="s">
        <v>774</v>
      </c>
      <c r="M66" s="49" t="s">
        <v>43</v>
      </c>
      <c r="N66" s="47" t="s">
        <v>703</v>
      </c>
      <c r="O66" s="48" t="s">
        <v>32</v>
      </c>
      <c r="P66" s="47" t="s">
        <v>704</v>
      </c>
      <c r="Q66" s="49" t="s">
        <v>43</v>
      </c>
      <c r="R66" s="47" t="s">
        <v>729</v>
      </c>
      <c r="S66" s="49" t="s">
        <v>44</v>
      </c>
      <c r="T66" s="47" t="s">
        <v>727</v>
      </c>
      <c r="U66" s="49" t="s">
        <v>43</v>
      </c>
      <c r="V66" s="47" t="s">
        <v>716</v>
      </c>
    </row>
    <row r="67" spans="1:22" ht="78" customHeight="1" x14ac:dyDescent="0.2">
      <c r="A67" s="21"/>
      <c r="B67" s="21"/>
      <c r="C67" s="21"/>
      <c r="D67" s="19" t="s">
        <v>303</v>
      </c>
      <c r="E67" s="19" t="s">
        <v>304</v>
      </c>
      <c r="F67" s="19" t="s">
        <v>305</v>
      </c>
      <c r="G67" s="19" t="s">
        <v>140</v>
      </c>
      <c r="H67" s="26" t="s">
        <v>646</v>
      </c>
      <c r="I67" s="21"/>
      <c r="J67" s="57" t="s">
        <v>541</v>
      </c>
      <c r="K67" s="46" t="s">
        <v>31</v>
      </c>
      <c r="L67" s="47" t="s">
        <v>685</v>
      </c>
      <c r="M67" s="48" t="s">
        <v>32</v>
      </c>
      <c r="N67" s="47" t="s">
        <v>702</v>
      </c>
      <c r="O67" s="48" t="s">
        <v>32</v>
      </c>
      <c r="P67" s="47" t="s">
        <v>704</v>
      </c>
      <c r="Q67" s="48" t="s">
        <v>32</v>
      </c>
      <c r="R67" s="47" t="s">
        <v>728</v>
      </c>
      <c r="S67" s="48" t="s">
        <v>33</v>
      </c>
      <c r="T67" s="47" t="s">
        <v>726</v>
      </c>
      <c r="U67" s="48" t="s">
        <v>32</v>
      </c>
      <c r="V67" s="47" t="s">
        <v>709</v>
      </c>
    </row>
    <row r="68" spans="1:22" ht="139" customHeight="1" x14ac:dyDescent="0.2">
      <c r="A68" s="21"/>
      <c r="B68" s="21"/>
      <c r="C68" s="21"/>
      <c r="D68" s="19" t="s">
        <v>306</v>
      </c>
      <c r="E68" s="19" t="s">
        <v>307</v>
      </c>
      <c r="F68" s="19" t="s">
        <v>308</v>
      </c>
      <c r="G68" s="19" t="s">
        <v>309</v>
      </c>
      <c r="H68" s="26" t="s">
        <v>647</v>
      </c>
      <c r="I68" s="21"/>
      <c r="J68" s="57" t="s">
        <v>542</v>
      </c>
      <c r="K68" s="50" t="s">
        <v>42</v>
      </c>
      <c r="L68" s="47" t="s">
        <v>775</v>
      </c>
      <c r="M68" s="49" t="s">
        <v>43</v>
      </c>
      <c r="N68" s="47" t="s">
        <v>703</v>
      </c>
      <c r="O68" s="48" t="s">
        <v>32</v>
      </c>
      <c r="P68" s="47" t="s">
        <v>704</v>
      </c>
      <c r="Q68" s="49" t="s">
        <v>43</v>
      </c>
      <c r="R68" s="47" t="s">
        <v>729</v>
      </c>
      <c r="S68" s="49" t="s">
        <v>44</v>
      </c>
      <c r="T68" s="47" t="s">
        <v>727</v>
      </c>
      <c r="U68" s="49" t="s">
        <v>43</v>
      </c>
      <c r="V68" s="47" t="s">
        <v>717</v>
      </c>
    </row>
    <row r="69" spans="1:22" ht="93" customHeight="1" x14ac:dyDescent="0.2">
      <c r="A69" s="21"/>
      <c r="B69" s="21"/>
      <c r="C69" s="21"/>
      <c r="D69" s="19" t="s">
        <v>310</v>
      </c>
      <c r="E69" s="19" t="s">
        <v>311</v>
      </c>
      <c r="F69" s="19" t="s">
        <v>312</v>
      </c>
      <c r="G69" s="19" t="s">
        <v>313</v>
      </c>
      <c r="H69" s="26" t="s">
        <v>648</v>
      </c>
      <c r="I69" s="21"/>
      <c r="J69" s="57" t="s">
        <v>543</v>
      </c>
      <c r="K69" s="46" t="s">
        <v>31</v>
      </c>
      <c r="L69" s="47" t="s">
        <v>685</v>
      </c>
      <c r="M69" s="48" t="s">
        <v>32</v>
      </c>
      <c r="N69" s="47" t="s">
        <v>702</v>
      </c>
      <c r="O69" s="48" t="s">
        <v>32</v>
      </c>
      <c r="P69" s="47" t="s">
        <v>704</v>
      </c>
      <c r="Q69" s="48" t="s">
        <v>32</v>
      </c>
      <c r="R69" s="47" t="s">
        <v>728</v>
      </c>
      <c r="S69" s="48" t="s">
        <v>33</v>
      </c>
      <c r="T69" s="47" t="s">
        <v>726</v>
      </c>
      <c r="U69" s="48" t="s">
        <v>32</v>
      </c>
      <c r="V69" s="47" t="s">
        <v>709</v>
      </c>
    </row>
    <row r="70" spans="1:22" ht="42" customHeight="1" x14ac:dyDescent="0.2">
      <c r="A70" s="21"/>
      <c r="B70" s="21"/>
      <c r="C70" s="21"/>
      <c r="D70" s="19" t="s">
        <v>314</v>
      </c>
      <c r="E70" s="19" t="s">
        <v>315</v>
      </c>
      <c r="F70" s="19" t="s">
        <v>316</v>
      </c>
      <c r="G70" s="19" t="s">
        <v>317</v>
      </c>
      <c r="H70" s="26" t="s">
        <v>649</v>
      </c>
      <c r="I70" s="21"/>
      <c r="J70" s="57" t="s">
        <v>544</v>
      </c>
      <c r="K70" s="46" t="s">
        <v>31</v>
      </c>
      <c r="L70" s="47" t="s">
        <v>685</v>
      </c>
      <c r="M70" s="48" t="s">
        <v>32</v>
      </c>
      <c r="N70" s="47" t="s">
        <v>702</v>
      </c>
      <c r="O70" s="48" t="s">
        <v>32</v>
      </c>
      <c r="P70" s="47" t="s">
        <v>704</v>
      </c>
      <c r="Q70" s="48" t="s">
        <v>32</v>
      </c>
      <c r="R70" s="47" t="s">
        <v>728</v>
      </c>
      <c r="S70" s="48" t="s">
        <v>33</v>
      </c>
      <c r="T70" s="47" t="s">
        <v>726</v>
      </c>
      <c r="U70" s="48" t="s">
        <v>32</v>
      </c>
      <c r="V70" s="47" t="s">
        <v>709</v>
      </c>
    </row>
    <row r="71" spans="1:22" ht="114" customHeight="1" x14ac:dyDescent="0.2">
      <c r="A71" s="21"/>
      <c r="B71" s="21"/>
      <c r="C71" s="21"/>
      <c r="D71" s="19" t="s">
        <v>318</v>
      </c>
      <c r="E71" s="19" t="s">
        <v>319</v>
      </c>
      <c r="F71" s="19" t="s">
        <v>320</v>
      </c>
      <c r="G71" s="19" t="s">
        <v>321</v>
      </c>
      <c r="H71" s="26" t="s">
        <v>650</v>
      </c>
      <c r="I71" s="21"/>
      <c r="J71" s="57" t="s">
        <v>545</v>
      </c>
      <c r="K71" s="46" t="s">
        <v>31</v>
      </c>
      <c r="L71" s="47" t="s">
        <v>685</v>
      </c>
      <c r="M71" s="48" t="s">
        <v>32</v>
      </c>
      <c r="N71" s="47" t="s">
        <v>702</v>
      </c>
      <c r="O71" s="48" t="s">
        <v>32</v>
      </c>
      <c r="P71" s="47" t="s">
        <v>704</v>
      </c>
      <c r="Q71" s="48" t="s">
        <v>32</v>
      </c>
      <c r="R71" s="47" t="s">
        <v>728</v>
      </c>
      <c r="S71" s="48" t="s">
        <v>33</v>
      </c>
      <c r="T71" s="47" t="s">
        <v>726</v>
      </c>
      <c r="U71" s="48" t="s">
        <v>32</v>
      </c>
      <c r="V71" s="47" t="s">
        <v>709</v>
      </c>
    </row>
    <row r="72" spans="1:22" ht="42" customHeight="1" x14ac:dyDescent="0.2">
      <c r="A72" s="21"/>
      <c r="B72" s="21"/>
      <c r="C72" s="21"/>
      <c r="D72" s="19" t="s">
        <v>322</v>
      </c>
      <c r="E72" s="19" t="s">
        <v>323</v>
      </c>
      <c r="F72" s="19" t="s">
        <v>324</v>
      </c>
      <c r="G72" s="19" t="s">
        <v>325</v>
      </c>
      <c r="H72" s="26" t="s">
        <v>651</v>
      </c>
      <c r="I72" s="21"/>
      <c r="J72" s="57" t="s">
        <v>546</v>
      </c>
      <c r="K72" s="46" t="s">
        <v>31</v>
      </c>
      <c r="L72" s="47" t="s">
        <v>685</v>
      </c>
      <c r="M72" s="48" t="s">
        <v>32</v>
      </c>
      <c r="N72" s="47" t="s">
        <v>702</v>
      </c>
      <c r="O72" s="48" t="s">
        <v>32</v>
      </c>
      <c r="P72" s="47" t="s">
        <v>704</v>
      </c>
      <c r="Q72" s="48" t="s">
        <v>32</v>
      </c>
      <c r="R72" s="47" t="s">
        <v>728</v>
      </c>
      <c r="S72" s="48" t="s">
        <v>33</v>
      </c>
      <c r="T72" s="47" t="s">
        <v>726</v>
      </c>
      <c r="U72" s="48" t="s">
        <v>32</v>
      </c>
      <c r="V72" s="47" t="s">
        <v>709</v>
      </c>
    </row>
    <row r="73" spans="1:22" ht="42" customHeight="1" x14ac:dyDescent="0.2">
      <c r="A73" s="18" t="s">
        <v>326</v>
      </c>
      <c r="B73" s="18" t="s">
        <v>327</v>
      </c>
      <c r="C73" s="18" t="s">
        <v>328</v>
      </c>
      <c r="D73" s="19" t="s">
        <v>329</v>
      </c>
      <c r="E73" s="19" t="s">
        <v>330</v>
      </c>
      <c r="F73" s="19" t="s">
        <v>143</v>
      </c>
      <c r="G73" s="19" t="s">
        <v>144</v>
      </c>
      <c r="H73" s="26" t="s">
        <v>652</v>
      </c>
      <c r="I73" s="21"/>
      <c r="J73" s="57" t="s">
        <v>547</v>
      </c>
      <c r="K73" s="46" t="s">
        <v>31</v>
      </c>
      <c r="L73" s="47" t="s">
        <v>683</v>
      </c>
      <c r="M73" s="48" t="s">
        <v>32</v>
      </c>
      <c r="N73" s="47" t="s">
        <v>702</v>
      </c>
      <c r="O73" s="48" t="s">
        <v>32</v>
      </c>
      <c r="P73" s="47" t="s">
        <v>704</v>
      </c>
      <c r="Q73" s="48" t="s">
        <v>32</v>
      </c>
      <c r="R73" s="47" t="s">
        <v>728</v>
      </c>
      <c r="S73" s="48" t="s">
        <v>33</v>
      </c>
      <c r="T73" s="47" t="s">
        <v>726</v>
      </c>
      <c r="U73" s="48" t="s">
        <v>32</v>
      </c>
      <c r="V73" s="47" t="s">
        <v>707</v>
      </c>
    </row>
    <row r="74" spans="1:22" ht="79" customHeight="1" x14ac:dyDescent="0.2">
      <c r="A74" s="21"/>
      <c r="B74" s="21"/>
      <c r="C74" s="21"/>
      <c r="D74" s="19" t="s">
        <v>331</v>
      </c>
      <c r="E74" s="19" t="s">
        <v>332</v>
      </c>
      <c r="F74" s="19" t="s">
        <v>333</v>
      </c>
      <c r="G74" s="19" t="s">
        <v>334</v>
      </c>
      <c r="H74" s="26" t="s">
        <v>653</v>
      </c>
      <c r="I74" s="21"/>
      <c r="J74" s="57" t="s">
        <v>548</v>
      </c>
      <c r="K74" s="46" t="s">
        <v>31</v>
      </c>
      <c r="L74" s="47" t="s">
        <v>683</v>
      </c>
      <c r="M74" s="48" t="s">
        <v>32</v>
      </c>
      <c r="N74" s="47" t="s">
        <v>702</v>
      </c>
      <c r="O74" s="48" t="s">
        <v>32</v>
      </c>
      <c r="P74" s="47" t="s">
        <v>704</v>
      </c>
      <c r="Q74" s="48" t="s">
        <v>32</v>
      </c>
      <c r="R74" s="47" t="s">
        <v>728</v>
      </c>
      <c r="S74" s="48" t="s">
        <v>33</v>
      </c>
      <c r="T74" s="47" t="s">
        <v>726</v>
      </c>
      <c r="U74" s="48" t="s">
        <v>32</v>
      </c>
      <c r="V74" s="47" t="s">
        <v>707</v>
      </c>
    </row>
    <row r="75" spans="1:22" ht="76" customHeight="1" x14ac:dyDescent="0.2">
      <c r="A75" s="21"/>
      <c r="B75" s="21"/>
      <c r="C75" s="21"/>
      <c r="D75" s="19" t="s">
        <v>335</v>
      </c>
      <c r="E75" s="19" t="s">
        <v>336</v>
      </c>
      <c r="F75" s="19" t="s">
        <v>131</v>
      </c>
      <c r="G75" s="19" t="s">
        <v>132</v>
      </c>
      <c r="H75" s="26" t="s">
        <v>654</v>
      </c>
      <c r="I75" s="21"/>
      <c r="J75" s="57" t="s">
        <v>549</v>
      </c>
      <c r="K75" s="50" t="s">
        <v>42</v>
      </c>
      <c r="L75" s="47" t="s">
        <v>694</v>
      </c>
      <c r="M75" s="49" t="s">
        <v>43</v>
      </c>
      <c r="N75" s="47" t="s">
        <v>703</v>
      </c>
      <c r="O75" s="48" t="s">
        <v>32</v>
      </c>
      <c r="P75" s="47" t="s">
        <v>704</v>
      </c>
      <c r="Q75" s="49" t="s">
        <v>43</v>
      </c>
      <c r="R75" s="47" t="s">
        <v>729</v>
      </c>
      <c r="S75" s="49" t="s">
        <v>44</v>
      </c>
      <c r="T75" s="47" t="s">
        <v>727</v>
      </c>
      <c r="U75" s="49" t="s">
        <v>43</v>
      </c>
      <c r="V75" s="47" t="s">
        <v>718</v>
      </c>
    </row>
    <row r="76" spans="1:22" ht="84" customHeight="1" x14ac:dyDescent="0.2">
      <c r="A76" s="21"/>
      <c r="B76" s="21"/>
      <c r="C76" s="21"/>
      <c r="D76" s="19" t="s">
        <v>337</v>
      </c>
      <c r="E76" s="19" t="s">
        <v>338</v>
      </c>
      <c r="F76" s="19" t="s">
        <v>339</v>
      </c>
      <c r="G76" s="19" t="s">
        <v>340</v>
      </c>
      <c r="H76" s="26" t="s">
        <v>655</v>
      </c>
      <c r="I76" s="21"/>
      <c r="J76" s="57" t="s">
        <v>550</v>
      </c>
      <c r="K76" s="46" t="s">
        <v>31</v>
      </c>
      <c r="L76" s="47" t="s">
        <v>683</v>
      </c>
      <c r="M76" s="48" t="s">
        <v>32</v>
      </c>
      <c r="N76" s="47" t="s">
        <v>702</v>
      </c>
      <c r="O76" s="48" t="s">
        <v>32</v>
      </c>
      <c r="P76" s="47" t="s">
        <v>704</v>
      </c>
      <c r="Q76" s="48" t="s">
        <v>32</v>
      </c>
      <c r="R76" s="47" t="s">
        <v>728</v>
      </c>
      <c r="S76" s="48" t="s">
        <v>33</v>
      </c>
      <c r="T76" s="47" t="s">
        <v>726</v>
      </c>
      <c r="U76" s="48" t="s">
        <v>32</v>
      </c>
      <c r="V76" s="47" t="s">
        <v>707</v>
      </c>
    </row>
    <row r="77" spans="1:22" ht="81" customHeight="1" x14ac:dyDescent="0.2">
      <c r="A77" s="21"/>
      <c r="B77" s="21"/>
      <c r="C77" s="21"/>
      <c r="D77" s="19" t="s">
        <v>341</v>
      </c>
      <c r="E77" s="19" t="s">
        <v>342</v>
      </c>
      <c r="F77" s="19" t="s">
        <v>343</v>
      </c>
      <c r="G77" s="19" t="s">
        <v>344</v>
      </c>
      <c r="H77" s="26" t="s">
        <v>656</v>
      </c>
      <c r="I77" s="21"/>
      <c r="J77" s="57" t="s">
        <v>551</v>
      </c>
      <c r="K77" s="46" t="s">
        <v>31</v>
      </c>
      <c r="L77" s="47" t="s">
        <v>683</v>
      </c>
      <c r="M77" s="48" t="s">
        <v>32</v>
      </c>
      <c r="N77" s="47" t="s">
        <v>702</v>
      </c>
      <c r="O77" s="48" t="s">
        <v>32</v>
      </c>
      <c r="P77" s="47" t="s">
        <v>704</v>
      </c>
      <c r="Q77" s="48" t="s">
        <v>32</v>
      </c>
      <c r="R77" s="47" t="s">
        <v>728</v>
      </c>
      <c r="S77" s="48" t="s">
        <v>33</v>
      </c>
      <c r="T77" s="47" t="s">
        <v>726</v>
      </c>
      <c r="U77" s="48" t="s">
        <v>32</v>
      </c>
      <c r="V77" s="47" t="s">
        <v>707</v>
      </c>
    </row>
    <row r="78" spans="1:22" ht="96" customHeight="1" x14ac:dyDescent="0.2">
      <c r="A78" s="21"/>
      <c r="B78" s="21"/>
      <c r="C78" s="21"/>
      <c r="D78" s="19" t="s">
        <v>345</v>
      </c>
      <c r="E78" s="19" t="s">
        <v>346</v>
      </c>
      <c r="F78" s="19" t="s">
        <v>347</v>
      </c>
      <c r="G78" s="19" t="s">
        <v>348</v>
      </c>
      <c r="H78" s="26" t="s">
        <v>657</v>
      </c>
      <c r="I78" s="21"/>
      <c r="J78" s="57" t="s">
        <v>552</v>
      </c>
      <c r="K78" s="46" t="s">
        <v>31</v>
      </c>
      <c r="L78" s="47" t="s">
        <v>683</v>
      </c>
      <c r="M78" s="48" t="s">
        <v>32</v>
      </c>
      <c r="N78" s="47" t="s">
        <v>702</v>
      </c>
      <c r="O78" s="48" t="s">
        <v>32</v>
      </c>
      <c r="P78" s="47" t="s">
        <v>704</v>
      </c>
      <c r="Q78" s="48" t="s">
        <v>32</v>
      </c>
      <c r="R78" s="47" t="s">
        <v>728</v>
      </c>
      <c r="S78" s="48" t="s">
        <v>33</v>
      </c>
      <c r="T78" s="47" t="s">
        <v>726</v>
      </c>
      <c r="U78" s="48" t="s">
        <v>32</v>
      </c>
      <c r="V78" s="47" t="s">
        <v>707</v>
      </c>
    </row>
    <row r="79" spans="1:22" ht="147" customHeight="1" x14ac:dyDescent="0.2">
      <c r="A79" s="21"/>
      <c r="B79" s="21"/>
      <c r="C79" s="21"/>
      <c r="D79" s="19" t="s">
        <v>349</v>
      </c>
      <c r="E79" s="19" t="s">
        <v>350</v>
      </c>
      <c r="F79" s="19" t="s">
        <v>351</v>
      </c>
      <c r="G79" s="19" t="s">
        <v>352</v>
      </c>
      <c r="H79" s="26" t="s">
        <v>658</v>
      </c>
      <c r="I79" s="21"/>
      <c r="J79" s="57" t="s">
        <v>553</v>
      </c>
      <c r="K79" s="46" t="s">
        <v>31</v>
      </c>
      <c r="L79" s="47" t="s">
        <v>683</v>
      </c>
      <c r="M79" s="49" t="s">
        <v>43</v>
      </c>
      <c r="N79" s="47" t="s">
        <v>702</v>
      </c>
      <c r="O79" s="48" t="s">
        <v>32</v>
      </c>
      <c r="P79" s="47" t="s">
        <v>704</v>
      </c>
      <c r="Q79" s="48" t="s">
        <v>32</v>
      </c>
      <c r="R79" s="47" t="s">
        <v>728</v>
      </c>
      <c r="S79" s="48" t="s">
        <v>33</v>
      </c>
      <c r="T79" s="47" t="s">
        <v>726</v>
      </c>
      <c r="U79" s="48" t="s">
        <v>32</v>
      </c>
      <c r="V79" s="47" t="s">
        <v>707</v>
      </c>
    </row>
    <row r="80" spans="1:22" ht="90" customHeight="1" x14ac:dyDescent="0.2">
      <c r="A80" s="21"/>
      <c r="B80" s="21"/>
      <c r="C80" s="21"/>
      <c r="D80" s="19" t="s">
        <v>353</v>
      </c>
      <c r="E80" s="19" t="s">
        <v>354</v>
      </c>
      <c r="F80" s="19" t="s">
        <v>355</v>
      </c>
      <c r="G80" s="19" t="s">
        <v>356</v>
      </c>
      <c r="H80" s="26" t="s">
        <v>659</v>
      </c>
      <c r="I80" s="21"/>
      <c r="J80" s="57" t="s">
        <v>554</v>
      </c>
      <c r="K80" s="46" t="s">
        <v>31</v>
      </c>
      <c r="L80" s="47" t="s">
        <v>683</v>
      </c>
      <c r="M80" s="48" t="s">
        <v>32</v>
      </c>
      <c r="N80" s="47" t="s">
        <v>702</v>
      </c>
      <c r="O80" s="48" t="s">
        <v>32</v>
      </c>
      <c r="P80" s="47" t="s">
        <v>704</v>
      </c>
      <c r="Q80" s="48" t="s">
        <v>32</v>
      </c>
      <c r="R80" s="47" t="s">
        <v>728</v>
      </c>
      <c r="S80" s="48" t="s">
        <v>33</v>
      </c>
      <c r="T80" s="47" t="s">
        <v>726</v>
      </c>
      <c r="U80" s="48" t="s">
        <v>32</v>
      </c>
      <c r="V80" s="47" t="s">
        <v>707</v>
      </c>
    </row>
    <row r="81" spans="1:22" ht="67" customHeight="1" x14ac:dyDescent="0.2">
      <c r="A81" s="21"/>
      <c r="B81" s="21"/>
      <c r="C81" s="21"/>
      <c r="D81" s="19" t="s">
        <v>357</v>
      </c>
      <c r="E81" s="19" t="s">
        <v>358</v>
      </c>
      <c r="F81" s="19" t="s">
        <v>359</v>
      </c>
      <c r="G81" s="19" t="s">
        <v>360</v>
      </c>
      <c r="H81" s="26" t="s">
        <v>660</v>
      </c>
      <c r="I81" s="21"/>
      <c r="J81" s="57" t="s">
        <v>555</v>
      </c>
      <c r="K81" s="50" t="s">
        <v>42</v>
      </c>
      <c r="L81" s="47" t="s">
        <v>695</v>
      </c>
      <c r="M81" s="49" t="s">
        <v>43</v>
      </c>
      <c r="N81" s="47" t="s">
        <v>703</v>
      </c>
      <c r="O81" s="48" t="s">
        <v>32</v>
      </c>
      <c r="P81" s="47" t="s">
        <v>704</v>
      </c>
      <c r="Q81" s="49" t="s">
        <v>43</v>
      </c>
      <c r="R81" s="47" t="s">
        <v>729</v>
      </c>
      <c r="S81" s="49" t="s">
        <v>44</v>
      </c>
      <c r="T81" s="47" t="s">
        <v>727</v>
      </c>
      <c r="U81" s="49" t="s">
        <v>43</v>
      </c>
      <c r="V81" s="47" t="s">
        <v>719</v>
      </c>
    </row>
    <row r="82" spans="1:22" ht="123" customHeight="1" x14ac:dyDescent="0.2">
      <c r="A82" s="21"/>
      <c r="B82" s="21"/>
      <c r="C82" s="21"/>
      <c r="D82" s="19" t="s">
        <v>361</v>
      </c>
      <c r="E82" s="19" t="s">
        <v>362</v>
      </c>
      <c r="F82" s="19" t="s">
        <v>363</v>
      </c>
      <c r="G82" s="19" t="s">
        <v>364</v>
      </c>
      <c r="H82" s="26" t="s">
        <v>661</v>
      </c>
      <c r="I82" s="21"/>
      <c r="J82" s="57" t="s">
        <v>556</v>
      </c>
      <c r="K82" s="46" t="s">
        <v>31</v>
      </c>
      <c r="L82" s="47" t="s">
        <v>682</v>
      </c>
      <c r="M82" s="48" t="s">
        <v>32</v>
      </c>
      <c r="N82" s="47" t="s">
        <v>702</v>
      </c>
      <c r="O82" s="48" t="s">
        <v>32</v>
      </c>
      <c r="P82" s="47" t="s">
        <v>704</v>
      </c>
      <c r="Q82" s="48" t="s">
        <v>32</v>
      </c>
      <c r="R82" s="47" t="s">
        <v>728</v>
      </c>
      <c r="S82" s="48" t="s">
        <v>33</v>
      </c>
      <c r="T82" s="47" t="s">
        <v>726</v>
      </c>
      <c r="U82" s="48" t="s">
        <v>32</v>
      </c>
      <c r="V82" s="47" t="s">
        <v>706</v>
      </c>
    </row>
    <row r="83" spans="1:22" ht="87" customHeight="1" x14ac:dyDescent="0.2">
      <c r="A83" s="18" t="s">
        <v>365</v>
      </c>
      <c r="B83" s="18" t="s">
        <v>366</v>
      </c>
      <c r="C83" s="18" t="s">
        <v>367</v>
      </c>
      <c r="D83" s="19" t="s">
        <v>368</v>
      </c>
      <c r="E83" s="19" t="s">
        <v>369</v>
      </c>
      <c r="F83" s="19" t="s">
        <v>47</v>
      </c>
      <c r="G83" s="19" t="s">
        <v>48</v>
      </c>
      <c r="H83" s="26" t="s">
        <v>662</v>
      </c>
      <c r="I83" s="21"/>
      <c r="J83" s="57" t="s">
        <v>557</v>
      </c>
      <c r="K83" s="46" t="s">
        <v>31</v>
      </c>
      <c r="L83" s="47" t="s">
        <v>682</v>
      </c>
      <c r="M83" s="48" t="s">
        <v>32</v>
      </c>
      <c r="N83" s="47" t="s">
        <v>702</v>
      </c>
      <c r="O83" s="48" t="s">
        <v>32</v>
      </c>
      <c r="P83" s="47" t="s">
        <v>704</v>
      </c>
      <c r="Q83" s="48" t="s">
        <v>32</v>
      </c>
      <c r="R83" s="47" t="s">
        <v>728</v>
      </c>
      <c r="S83" s="48" t="s">
        <v>33</v>
      </c>
      <c r="T83" s="47" t="s">
        <v>726</v>
      </c>
      <c r="U83" s="48" t="s">
        <v>32</v>
      </c>
      <c r="V83" s="47" t="s">
        <v>706</v>
      </c>
    </row>
    <row r="84" spans="1:22" ht="88" customHeight="1" x14ac:dyDescent="0.2">
      <c r="A84" s="21"/>
      <c r="B84" s="21"/>
      <c r="C84" s="21"/>
      <c r="D84" s="19" t="s">
        <v>370</v>
      </c>
      <c r="E84" s="19" t="s">
        <v>371</v>
      </c>
      <c r="F84" s="19" t="s">
        <v>372</v>
      </c>
      <c r="G84" s="19" t="s">
        <v>373</v>
      </c>
      <c r="H84" s="26" t="s">
        <v>663</v>
      </c>
      <c r="I84" s="21"/>
      <c r="J84" s="57" t="s">
        <v>558</v>
      </c>
      <c r="K84" s="46" t="s">
        <v>31</v>
      </c>
      <c r="L84" s="47" t="s">
        <v>682</v>
      </c>
      <c r="M84" s="48" t="s">
        <v>32</v>
      </c>
      <c r="N84" s="47" t="s">
        <v>702</v>
      </c>
      <c r="O84" s="48" t="s">
        <v>32</v>
      </c>
      <c r="P84" s="47" t="s">
        <v>704</v>
      </c>
      <c r="Q84" s="48" t="s">
        <v>32</v>
      </c>
      <c r="R84" s="47" t="s">
        <v>728</v>
      </c>
      <c r="S84" s="48" t="s">
        <v>33</v>
      </c>
      <c r="T84" s="47" t="s">
        <v>726</v>
      </c>
      <c r="U84" s="48" t="s">
        <v>32</v>
      </c>
      <c r="V84" s="47" t="s">
        <v>706</v>
      </c>
    </row>
    <row r="85" spans="1:22" ht="82" customHeight="1" x14ac:dyDescent="0.2">
      <c r="A85" s="21"/>
      <c r="B85" s="21"/>
      <c r="C85" s="21"/>
      <c r="D85" s="19" t="s">
        <v>374</v>
      </c>
      <c r="E85" s="19" t="s">
        <v>375</v>
      </c>
      <c r="F85" s="19" t="s">
        <v>376</v>
      </c>
      <c r="G85" s="19" t="s">
        <v>377</v>
      </c>
      <c r="H85" s="26" t="s">
        <v>664</v>
      </c>
      <c r="I85" s="21"/>
      <c r="J85" s="57" t="s">
        <v>559</v>
      </c>
      <c r="K85" s="46" t="s">
        <v>31</v>
      </c>
      <c r="L85" s="47" t="s">
        <v>682</v>
      </c>
      <c r="M85" s="48" t="s">
        <v>32</v>
      </c>
      <c r="N85" s="47" t="s">
        <v>702</v>
      </c>
      <c r="O85" s="48" t="s">
        <v>32</v>
      </c>
      <c r="P85" s="47" t="s">
        <v>704</v>
      </c>
      <c r="Q85" s="48" t="s">
        <v>32</v>
      </c>
      <c r="R85" s="47" t="s">
        <v>728</v>
      </c>
      <c r="S85" s="48" t="s">
        <v>33</v>
      </c>
      <c r="T85" s="47" t="s">
        <v>726</v>
      </c>
      <c r="U85" s="48" t="s">
        <v>32</v>
      </c>
      <c r="V85" s="47" t="s">
        <v>706</v>
      </c>
    </row>
    <row r="86" spans="1:22" ht="76" customHeight="1" x14ac:dyDescent="0.2">
      <c r="A86" s="21"/>
      <c r="B86" s="21"/>
      <c r="C86" s="21"/>
      <c r="D86" s="19" t="s">
        <v>378</v>
      </c>
      <c r="E86" s="19" t="s">
        <v>379</v>
      </c>
      <c r="F86" s="19" t="s">
        <v>380</v>
      </c>
      <c r="G86" s="19" t="s">
        <v>381</v>
      </c>
      <c r="H86" s="26" t="s">
        <v>665</v>
      </c>
      <c r="I86" s="21"/>
      <c r="J86" s="57" t="s">
        <v>560</v>
      </c>
      <c r="K86" s="46" t="s">
        <v>31</v>
      </c>
      <c r="L86" s="47" t="s">
        <v>682</v>
      </c>
      <c r="M86" s="48" t="s">
        <v>32</v>
      </c>
      <c r="N86" s="47" t="s">
        <v>702</v>
      </c>
      <c r="O86" s="48" t="s">
        <v>32</v>
      </c>
      <c r="P86" s="47" t="s">
        <v>704</v>
      </c>
      <c r="Q86" s="48" t="s">
        <v>32</v>
      </c>
      <c r="R86" s="47" t="s">
        <v>728</v>
      </c>
      <c r="S86" s="48" t="s">
        <v>33</v>
      </c>
      <c r="T86" s="47" t="s">
        <v>726</v>
      </c>
      <c r="U86" s="48" t="s">
        <v>32</v>
      </c>
      <c r="V86" s="47" t="s">
        <v>706</v>
      </c>
    </row>
    <row r="87" spans="1:22" ht="96" customHeight="1" x14ac:dyDescent="0.2">
      <c r="A87" s="21"/>
      <c r="B87" s="21"/>
      <c r="C87" s="21"/>
      <c r="D87" s="19" t="s">
        <v>382</v>
      </c>
      <c r="E87" s="19" t="s">
        <v>383</v>
      </c>
      <c r="F87" s="19" t="s">
        <v>112</v>
      </c>
      <c r="G87" s="19" t="s">
        <v>384</v>
      </c>
      <c r="H87" s="26" t="s">
        <v>666</v>
      </c>
      <c r="I87" s="21"/>
      <c r="J87" s="57" t="s">
        <v>561</v>
      </c>
      <c r="K87" s="46" t="s">
        <v>31</v>
      </c>
      <c r="L87" s="47" t="s">
        <v>685</v>
      </c>
      <c r="M87" s="48" t="s">
        <v>32</v>
      </c>
      <c r="N87" s="47" t="s">
        <v>702</v>
      </c>
      <c r="O87" s="48" t="s">
        <v>32</v>
      </c>
      <c r="P87" s="47" t="s">
        <v>704</v>
      </c>
      <c r="Q87" s="48" t="s">
        <v>32</v>
      </c>
      <c r="R87" s="47" t="s">
        <v>728</v>
      </c>
      <c r="S87" s="48" t="s">
        <v>33</v>
      </c>
      <c r="T87" s="47" t="s">
        <v>726</v>
      </c>
      <c r="U87" s="48" t="s">
        <v>32</v>
      </c>
      <c r="V87" s="47" t="s">
        <v>709</v>
      </c>
    </row>
    <row r="88" spans="1:22" ht="102" customHeight="1" x14ac:dyDescent="0.2">
      <c r="A88" s="21"/>
      <c r="B88" s="21"/>
      <c r="C88" s="21"/>
      <c r="D88" s="19" t="s">
        <v>385</v>
      </c>
      <c r="E88" s="19" t="s">
        <v>386</v>
      </c>
      <c r="F88" s="19" t="s">
        <v>387</v>
      </c>
      <c r="G88" s="19" t="s">
        <v>388</v>
      </c>
      <c r="H88" s="26" t="s">
        <v>667</v>
      </c>
      <c r="I88" s="21"/>
      <c r="J88" s="57" t="s">
        <v>562</v>
      </c>
      <c r="K88" s="50" t="s">
        <v>42</v>
      </c>
      <c r="L88" s="47" t="s">
        <v>696</v>
      </c>
      <c r="M88" s="49" t="s">
        <v>43</v>
      </c>
      <c r="N88" s="47" t="s">
        <v>703</v>
      </c>
      <c r="O88" s="48" t="s">
        <v>32</v>
      </c>
      <c r="P88" s="47" t="s">
        <v>704</v>
      </c>
      <c r="Q88" s="49" t="s">
        <v>43</v>
      </c>
      <c r="R88" s="47" t="s">
        <v>729</v>
      </c>
      <c r="S88" s="49" t="s">
        <v>44</v>
      </c>
      <c r="T88" s="47" t="s">
        <v>727</v>
      </c>
      <c r="U88" s="49" t="s">
        <v>43</v>
      </c>
      <c r="V88" s="47" t="s">
        <v>720</v>
      </c>
    </row>
    <row r="89" spans="1:22" ht="84" customHeight="1" x14ac:dyDescent="0.2">
      <c r="A89" s="21"/>
      <c r="B89" s="21"/>
      <c r="C89" s="21"/>
      <c r="D89" s="19" t="s">
        <v>389</v>
      </c>
      <c r="E89" s="19" t="s">
        <v>390</v>
      </c>
      <c r="F89" s="19" t="s">
        <v>391</v>
      </c>
      <c r="G89" s="19" t="s">
        <v>392</v>
      </c>
      <c r="H89" s="26" t="s">
        <v>668</v>
      </c>
      <c r="I89" s="21"/>
      <c r="J89" s="57" t="s">
        <v>563</v>
      </c>
      <c r="K89" s="46" t="s">
        <v>31</v>
      </c>
      <c r="L89" s="47" t="s">
        <v>683</v>
      </c>
      <c r="M89" s="48" t="s">
        <v>32</v>
      </c>
      <c r="N89" s="47" t="s">
        <v>702</v>
      </c>
      <c r="O89" s="48" t="s">
        <v>32</v>
      </c>
      <c r="P89" s="47" t="s">
        <v>704</v>
      </c>
      <c r="Q89" s="48" t="s">
        <v>32</v>
      </c>
      <c r="R89" s="47" t="s">
        <v>728</v>
      </c>
      <c r="S89" s="48" t="s">
        <v>33</v>
      </c>
      <c r="T89" s="47" t="s">
        <v>726</v>
      </c>
      <c r="U89" s="48" t="s">
        <v>32</v>
      </c>
      <c r="V89" s="47" t="s">
        <v>707</v>
      </c>
    </row>
    <row r="90" spans="1:22" ht="42" customHeight="1" x14ac:dyDescent="0.2">
      <c r="A90" s="21"/>
      <c r="B90" s="21"/>
      <c r="C90" s="21"/>
      <c r="D90" s="19" t="s">
        <v>393</v>
      </c>
      <c r="E90" s="19" t="s">
        <v>394</v>
      </c>
      <c r="F90" s="19" t="s">
        <v>395</v>
      </c>
      <c r="G90" s="19" t="s">
        <v>396</v>
      </c>
      <c r="H90" s="26" t="s">
        <v>669</v>
      </c>
      <c r="I90" s="21"/>
      <c r="J90" s="57" t="s">
        <v>564</v>
      </c>
      <c r="K90" s="46" t="s">
        <v>31</v>
      </c>
      <c r="L90" s="47" t="s">
        <v>685</v>
      </c>
      <c r="M90" s="48" t="s">
        <v>32</v>
      </c>
      <c r="N90" s="47" t="s">
        <v>702</v>
      </c>
      <c r="O90" s="48" t="s">
        <v>32</v>
      </c>
      <c r="P90" s="47" t="s">
        <v>704</v>
      </c>
      <c r="Q90" s="48" t="s">
        <v>32</v>
      </c>
      <c r="R90" s="47" t="s">
        <v>728</v>
      </c>
      <c r="S90" s="48" t="s">
        <v>33</v>
      </c>
      <c r="T90" s="47" t="s">
        <v>726</v>
      </c>
      <c r="U90" s="48" t="s">
        <v>32</v>
      </c>
      <c r="V90" s="47" t="s">
        <v>709</v>
      </c>
    </row>
    <row r="91" spans="1:22" ht="73" customHeight="1" x14ac:dyDescent="0.2">
      <c r="A91" s="24"/>
      <c r="B91" s="24"/>
      <c r="C91" s="24"/>
      <c r="D91" s="23" t="s">
        <v>397</v>
      </c>
      <c r="E91" s="23" t="s">
        <v>398</v>
      </c>
      <c r="F91" s="23" t="s">
        <v>399</v>
      </c>
      <c r="G91" s="23" t="s">
        <v>400</v>
      </c>
      <c r="H91" s="26" t="s">
        <v>670</v>
      </c>
      <c r="I91" s="24"/>
      <c r="J91" s="57" t="s">
        <v>565</v>
      </c>
      <c r="K91" s="46" t="s">
        <v>31</v>
      </c>
      <c r="L91" s="47" t="s">
        <v>684</v>
      </c>
      <c r="M91" s="48" t="s">
        <v>32</v>
      </c>
      <c r="N91" s="47" t="s">
        <v>702</v>
      </c>
      <c r="O91" s="48" t="s">
        <v>32</v>
      </c>
      <c r="P91" s="47" t="s">
        <v>704</v>
      </c>
      <c r="Q91" s="48" t="s">
        <v>32</v>
      </c>
      <c r="R91" s="47" t="s">
        <v>728</v>
      </c>
      <c r="S91" s="48" t="s">
        <v>33</v>
      </c>
      <c r="T91" s="47" t="s">
        <v>726</v>
      </c>
      <c r="U91" s="48" t="s">
        <v>32</v>
      </c>
      <c r="V91" s="47" t="s">
        <v>708</v>
      </c>
    </row>
    <row r="92" spans="1:22" ht="42" customHeight="1" x14ac:dyDescent="0.2">
      <c r="A92" s="25"/>
      <c r="B92" s="25"/>
      <c r="C92" s="25"/>
      <c r="D92" s="26" t="s">
        <v>401</v>
      </c>
      <c r="E92" s="26" t="s">
        <v>402</v>
      </c>
      <c r="F92" s="37" t="s">
        <v>579</v>
      </c>
      <c r="G92" s="37" t="s">
        <v>578</v>
      </c>
      <c r="H92" s="26" t="s">
        <v>671</v>
      </c>
      <c r="I92" s="25"/>
      <c r="J92" s="57" t="s">
        <v>566</v>
      </c>
      <c r="K92" s="46" t="s">
        <v>31</v>
      </c>
      <c r="L92" s="47" t="s">
        <v>682</v>
      </c>
      <c r="M92" s="48" t="s">
        <v>32</v>
      </c>
      <c r="N92" s="47" t="s">
        <v>702</v>
      </c>
      <c r="O92" s="48" t="s">
        <v>32</v>
      </c>
      <c r="P92" s="47" t="s">
        <v>704</v>
      </c>
      <c r="Q92" s="48" t="s">
        <v>32</v>
      </c>
      <c r="R92" s="47" t="s">
        <v>728</v>
      </c>
      <c r="S92" s="48" t="s">
        <v>33</v>
      </c>
      <c r="T92" s="47" t="s">
        <v>726</v>
      </c>
      <c r="U92" s="48" t="s">
        <v>32</v>
      </c>
      <c r="V92" s="47" t="s">
        <v>706</v>
      </c>
    </row>
    <row r="93" spans="1:22" ht="83" customHeight="1" x14ac:dyDescent="0.2">
      <c r="A93" s="27" t="s">
        <v>403</v>
      </c>
      <c r="B93" s="30" t="s">
        <v>404</v>
      </c>
      <c r="C93" s="30" t="s">
        <v>405</v>
      </c>
      <c r="D93" s="28" t="s">
        <v>406</v>
      </c>
      <c r="E93" s="28" t="s">
        <v>407</v>
      </c>
      <c r="F93" s="28" t="s">
        <v>408</v>
      </c>
      <c r="G93" s="28" t="s">
        <v>409</v>
      </c>
      <c r="H93" s="26" t="s">
        <v>672</v>
      </c>
      <c r="I93" s="27"/>
      <c r="J93" s="57" t="s">
        <v>567</v>
      </c>
      <c r="K93" s="50" t="s">
        <v>42</v>
      </c>
      <c r="L93" s="47" t="s">
        <v>685</v>
      </c>
      <c r="M93" s="49" t="s">
        <v>43</v>
      </c>
      <c r="N93" s="47" t="s">
        <v>776</v>
      </c>
      <c r="O93" s="48" t="s">
        <v>32</v>
      </c>
      <c r="P93" s="47" t="s">
        <v>704</v>
      </c>
      <c r="Q93" s="49" t="s">
        <v>43</v>
      </c>
      <c r="R93" s="47" t="s">
        <v>729</v>
      </c>
      <c r="S93" s="49" t="s">
        <v>44</v>
      </c>
      <c r="T93" s="47" t="s">
        <v>727</v>
      </c>
      <c r="U93" s="49" t="s">
        <v>43</v>
      </c>
      <c r="V93" s="47" t="s">
        <v>709</v>
      </c>
    </row>
    <row r="94" spans="1:22" ht="87" customHeight="1" x14ac:dyDescent="0.2">
      <c r="A94" s="21"/>
      <c r="B94" s="21"/>
      <c r="C94" s="21"/>
      <c r="D94" s="19" t="s">
        <v>410</v>
      </c>
      <c r="E94" s="19" t="s">
        <v>411</v>
      </c>
      <c r="F94" s="19" t="s">
        <v>412</v>
      </c>
      <c r="G94" s="19" t="s">
        <v>413</v>
      </c>
      <c r="H94" s="26" t="s">
        <v>673</v>
      </c>
      <c r="I94" s="21"/>
      <c r="J94" s="57" t="s">
        <v>568</v>
      </c>
      <c r="K94" s="46" t="s">
        <v>31</v>
      </c>
      <c r="L94" s="47" t="s">
        <v>683</v>
      </c>
      <c r="M94" s="48" t="s">
        <v>32</v>
      </c>
      <c r="N94" s="47" t="s">
        <v>702</v>
      </c>
      <c r="O94" s="48" t="s">
        <v>32</v>
      </c>
      <c r="P94" s="47" t="s">
        <v>704</v>
      </c>
      <c r="Q94" s="48" t="s">
        <v>32</v>
      </c>
      <c r="R94" s="47" t="s">
        <v>728</v>
      </c>
      <c r="S94" s="48" t="s">
        <v>33</v>
      </c>
      <c r="T94" s="47" t="s">
        <v>726</v>
      </c>
      <c r="U94" s="48" t="s">
        <v>32</v>
      </c>
      <c r="V94" s="47" t="s">
        <v>707</v>
      </c>
    </row>
    <row r="95" spans="1:22" ht="114" customHeight="1" x14ac:dyDescent="0.2">
      <c r="A95" s="21"/>
      <c r="B95" s="21"/>
      <c r="C95" s="21"/>
      <c r="D95" s="19" t="s">
        <v>414</v>
      </c>
      <c r="E95" s="19" t="s">
        <v>415</v>
      </c>
      <c r="F95" s="19" t="s">
        <v>416</v>
      </c>
      <c r="G95" s="19" t="s">
        <v>417</v>
      </c>
      <c r="H95" s="26" t="s">
        <v>674</v>
      </c>
      <c r="I95" s="21"/>
      <c r="J95" s="57" t="s">
        <v>569</v>
      </c>
      <c r="K95" s="50" t="s">
        <v>42</v>
      </c>
      <c r="L95" s="47" t="s">
        <v>777</v>
      </c>
      <c r="M95" s="49" t="s">
        <v>43</v>
      </c>
      <c r="N95" s="47" t="s">
        <v>778</v>
      </c>
      <c r="O95" s="48" t="s">
        <v>32</v>
      </c>
      <c r="P95" s="47" t="s">
        <v>704</v>
      </c>
      <c r="Q95" s="48" t="s">
        <v>32</v>
      </c>
      <c r="R95" s="47" t="s">
        <v>728</v>
      </c>
      <c r="S95" s="48" t="s">
        <v>33</v>
      </c>
      <c r="T95" s="47" t="s">
        <v>726</v>
      </c>
      <c r="U95" s="48" t="s">
        <v>32</v>
      </c>
      <c r="V95" s="47" t="s">
        <v>707</v>
      </c>
    </row>
    <row r="96" spans="1:22" ht="90" customHeight="1" x14ac:dyDescent="0.2">
      <c r="A96" s="21"/>
      <c r="B96" s="21"/>
      <c r="C96" s="21"/>
      <c r="D96" s="19" t="s">
        <v>418</v>
      </c>
      <c r="E96" s="19" t="s">
        <v>419</v>
      </c>
      <c r="F96" s="19" t="s">
        <v>420</v>
      </c>
      <c r="G96" s="19" t="s">
        <v>421</v>
      </c>
      <c r="H96" s="26" t="s">
        <v>675</v>
      </c>
      <c r="I96" s="21"/>
      <c r="J96" s="57" t="s">
        <v>570</v>
      </c>
      <c r="K96" s="46" t="s">
        <v>31</v>
      </c>
      <c r="L96" s="47" t="s">
        <v>685</v>
      </c>
      <c r="M96" s="48" t="s">
        <v>32</v>
      </c>
      <c r="N96" s="47" t="s">
        <v>702</v>
      </c>
      <c r="O96" s="48" t="s">
        <v>32</v>
      </c>
      <c r="P96" s="47" t="s">
        <v>704</v>
      </c>
      <c r="Q96" s="48" t="s">
        <v>32</v>
      </c>
      <c r="R96" s="47" t="s">
        <v>728</v>
      </c>
      <c r="S96" s="48" t="s">
        <v>33</v>
      </c>
      <c r="T96" s="47" t="s">
        <v>726</v>
      </c>
      <c r="U96" s="48" t="s">
        <v>32</v>
      </c>
      <c r="V96" s="47" t="s">
        <v>709</v>
      </c>
    </row>
    <row r="97" spans="1:22" ht="102" customHeight="1" x14ac:dyDescent="0.2">
      <c r="A97" s="21"/>
      <c r="B97" s="21"/>
      <c r="C97" s="21"/>
      <c r="D97" s="19" t="s">
        <v>422</v>
      </c>
      <c r="E97" s="19" t="s">
        <v>423</v>
      </c>
      <c r="F97" s="19" t="s">
        <v>424</v>
      </c>
      <c r="G97" s="19" t="s">
        <v>425</v>
      </c>
      <c r="H97" s="26" t="s">
        <v>676</v>
      </c>
      <c r="I97" s="21"/>
      <c r="J97" s="57" t="s">
        <v>571</v>
      </c>
      <c r="K97" s="46" t="s">
        <v>31</v>
      </c>
      <c r="L97" s="47" t="s">
        <v>683</v>
      </c>
      <c r="M97" s="48" t="s">
        <v>32</v>
      </c>
      <c r="N97" s="47" t="s">
        <v>702</v>
      </c>
      <c r="O97" s="48" t="s">
        <v>32</v>
      </c>
      <c r="P97" s="47" t="s">
        <v>704</v>
      </c>
      <c r="Q97" s="48" t="s">
        <v>32</v>
      </c>
      <c r="R97" s="47" t="s">
        <v>728</v>
      </c>
      <c r="S97" s="48" t="s">
        <v>33</v>
      </c>
      <c r="T97" s="47" t="s">
        <v>726</v>
      </c>
      <c r="U97" s="48" t="s">
        <v>32</v>
      </c>
      <c r="V97" s="47" t="s">
        <v>707</v>
      </c>
    </row>
    <row r="98" spans="1:22" ht="70" customHeight="1" x14ac:dyDescent="0.2">
      <c r="A98" s="21"/>
      <c r="B98" s="21"/>
      <c r="C98" s="21"/>
      <c r="D98" s="19" t="s">
        <v>426</v>
      </c>
      <c r="E98" s="19" t="s">
        <v>427</v>
      </c>
      <c r="F98" s="19" t="s">
        <v>428</v>
      </c>
      <c r="G98" s="19" t="s">
        <v>429</v>
      </c>
      <c r="H98" s="26" t="s">
        <v>677</v>
      </c>
      <c r="I98" s="21"/>
      <c r="J98" s="57" t="s">
        <v>572</v>
      </c>
      <c r="K98" s="50" t="s">
        <v>42</v>
      </c>
      <c r="L98" s="47" t="s">
        <v>697</v>
      </c>
      <c r="M98" s="49" t="s">
        <v>43</v>
      </c>
      <c r="N98" s="47" t="s">
        <v>703</v>
      </c>
      <c r="O98" s="48" t="s">
        <v>32</v>
      </c>
      <c r="P98" s="47" t="s">
        <v>704</v>
      </c>
      <c r="Q98" s="49" t="s">
        <v>43</v>
      </c>
      <c r="R98" s="47" t="s">
        <v>729</v>
      </c>
      <c r="S98" s="49" t="s">
        <v>44</v>
      </c>
      <c r="T98" s="47" t="s">
        <v>727</v>
      </c>
      <c r="U98" s="49" t="s">
        <v>43</v>
      </c>
      <c r="V98" s="47" t="s">
        <v>721</v>
      </c>
    </row>
    <row r="99" spans="1:22" ht="81" customHeight="1" x14ac:dyDescent="0.2">
      <c r="A99" s="21"/>
      <c r="B99" s="21"/>
      <c r="C99" s="21"/>
      <c r="D99" s="19" t="s">
        <v>430</v>
      </c>
      <c r="E99" s="19" t="s">
        <v>431</v>
      </c>
      <c r="F99" s="19" t="s">
        <v>432</v>
      </c>
      <c r="G99" s="19" t="s">
        <v>433</v>
      </c>
      <c r="H99" s="26" t="s">
        <v>678</v>
      </c>
      <c r="I99" s="21"/>
      <c r="J99" s="57" t="s">
        <v>573</v>
      </c>
      <c r="K99" s="50" t="s">
        <v>42</v>
      </c>
      <c r="L99" s="47" t="s">
        <v>698</v>
      </c>
      <c r="M99" s="49" t="s">
        <v>43</v>
      </c>
      <c r="N99" s="47" t="s">
        <v>703</v>
      </c>
      <c r="O99" s="48" t="s">
        <v>32</v>
      </c>
      <c r="P99" s="47" t="s">
        <v>704</v>
      </c>
      <c r="Q99" s="49" t="s">
        <v>43</v>
      </c>
      <c r="R99" s="47" t="s">
        <v>729</v>
      </c>
      <c r="S99" s="49" t="s">
        <v>44</v>
      </c>
      <c r="T99" s="47" t="s">
        <v>727</v>
      </c>
      <c r="U99" s="49" t="s">
        <v>43</v>
      </c>
      <c r="V99" s="47" t="s">
        <v>722</v>
      </c>
    </row>
    <row r="100" spans="1:22" ht="87" customHeight="1" x14ac:dyDescent="0.2">
      <c r="A100" s="21"/>
      <c r="B100" s="21"/>
      <c r="C100" s="21"/>
      <c r="D100" s="19" t="s">
        <v>434</v>
      </c>
      <c r="E100" s="19" t="s">
        <v>435</v>
      </c>
      <c r="F100" s="19" t="s">
        <v>436</v>
      </c>
      <c r="G100" s="19" t="s">
        <v>437</v>
      </c>
      <c r="H100" s="26" t="s">
        <v>679</v>
      </c>
      <c r="I100" s="21"/>
      <c r="J100" s="57" t="s">
        <v>574</v>
      </c>
      <c r="K100" s="50" t="s">
        <v>42</v>
      </c>
      <c r="L100" s="47" t="s">
        <v>699</v>
      </c>
      <c r="M100" s="49" t="s">
        <v>43</v>
      </c>
      <c r="N100" s="47" t="s">
        <v>703</v>
      </c>
      <c r="O100" s="48" t="s">
        <v>32</v>
      </c>
      <c r="P100" s="47" t="s">
        <v>704</v>
      </c>
      <c r="Q100" s="49" t="s">
        <v>43</v>
      </c>
      <c r="R100" s="47" t="s">
        <v>729</v>
      </c>
      <c r="S100" s="49" t="s">
        <v>44</v>
      </c>
      <c r="T100" s="47" t="s">
        <v>727</v>
      </c>
      <c r="U100" s="49" t="s">
        <v>43</v>
      </c>
      <c r="V100" s="47" t="s">
        <v>723</v>
      </c>
    </row>
    <row r="101" spans="1:22" ht="85" customHeight="1" x14ac:dyDescent="0.2">
      <c r="A101" s="21"/>
      <c r="B101" s="21"/>
      <c r="C101" s="21"/>
      <c r="D101" s="19" t="s">
        <v>438</v>
      </c>
      <c r="E101" s="19" t="s">
        <v>439</v>
      </c>
      <c r="F101" s="19" t="s">
        <v>440</v>
      </c>
      <c r="G101" s="19" t="s">
        <v>441</v>
      </c>
      <c r="H101" s="26" t="s">
        <v>680</v>
      </c>
      <c r="I101" s="21"/>
      <c r="J101" s="57" t="s">
        <v>575</v>
      </c>
      <c r="K101" s="50" t="s">
        <v>42</v>
      </c>
      <c r="L101" s="47" t="s">
        <v>700</v>
      </c>
      <c r="M101" s="49" t="s">
        <v>43</v>
      </c>
      <c r="N101" s="47" t="s">
        <v>703</v>
      </c>
      <c r="O101" s="48" t="s">
        <v>32</v>
      </c>
      <c r="P101" s="47" t="s">
        <v>704</v>
      </c>
      <c r="Q101" s="49" t="s">
        <v>43</v>
      </c>
      <c r="R101" s="47" t="s">
        <v>729</v>
      </c>
      <c r="S101" s="49" t="s">
        <v>44</v>
      </c>
      <c r="T101" s="47" t="s">
        <v>727</v>
      </c>
      <c r="U101" s="49" t="s">
        <v>43</v>
      </c>
      <c r="V101" s="47" t="s">
        <v>724</v>
      </c>
    </row>
    <row r="102" spans="1:22" ht="118" customHeight="1" x14ac:dyDescent="0.2">
      <c r="A102" s="21"/>
      <c r="B102" s="21"/>
      <c r="C102" s="21"/>
      <c r="D102" s="19" t="s">
        <v>442</v>
      </c>
      <c r="E102" s="19" t="s">
        <v>443</v>
      </c>
      <c r="F102" s="19" t="s">
        <v>444</v>
      </c>
      <c r="G102" s="19" t="s">
        <v>445</v>
      </c>
      <c r="H102" s="26" t="s">
        <v>681</v>
      </c>
      <c r="I102" s="21"/>
      <c r="J102" s="57" t="s">
        <v>577</v>
      </c>
      <c r="K102" s="50" t="s">
        <v>42</v>
      </c>
      <c r="L102" s="47" t="s">
        <v>701</v>
      </c>
      <c r="M102" s="49" t="s">
        <v>43</v>
      </c>
      <c r="N102" s="47" t="s">
        <v>703</v>
      </c>
      <c r="O102" s="48" t="s">
        <v>32</v>
      </c>
      <c r="P102" s="47" t="s">
        <v>704</v>
      </c>
      <c r="Q102" s="49" t="s">
        <v>43</v>
      </c>
      <c r="R102" s="47" t="s">
        <v>729</v>
      </c>
      <c r="S102" s="49" t="s">
        <v>44</v>
      </c>
      <c r="T102" s="47" t="s">
        <v>727</v>
      </c>
      <c r="U102" s="49" t="s">
        <v>43</v>
      </c>
      <c r="V102" s="47" t="s">
        <v>725</v>
      </c>
    </row>
  </sheetData>
  <mergeCells count="1">
    <mergeCell ref="M1:V1"/>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79CF3-7F84-C941-8A8F-F2B99053E762}">
  <dimension ref="A1:O18"/>
  <sheetViews>
    <sheetView workbookViewId="0">
      <selection activeCell="B28" sqref="B28"/>
    </sheetView>
  </sheetViews>
  <sheetFormatPr baseColWidth="10" defaultRowHeight="16" x14ac:dyDescent="0.2"/>
  <cols>
    <col min="1" max="1" width="20.5" customWidth="1"/>
  </cols>
  <sheetData>
    <row r="1" spans="1:15" x14ac:dyDescent="0.2">
      <c r="A1" t="s">
        <v>794</v>
      </c>
    </row>
    <row r="2" spans="1:15" x14ac:dyDescent="0.2">
      <c r="A2" s="3" t="s">
        <v>12</v>
      </c>
      <c r="B2" s="3" t="s">
        <v>446</v>
      </c>
      <c r="C2" s="3" t="s">
        <v>447</v>
      </c>
      <c r="D2" s="62"/>
    </row>
    <row r="3" spans="1:15" x14ac:dyDescent="0.2">
      <c r="A3" t="s">
        <v>31</v>
      </c>
      <c r="B3">
        <f>COUNTIF('Evaluation by lawyer'!$K$3:$K$102,A3)</f>
        <v>70</v>
      </c>
      <c r="C3" s="4">
        <f>B3/COUNTA('Evaluation by researcher'!$K$3:$K$102)</f>
        <v>0.7</v>
      </c>
    </row>
    <row r="4" spans="1:15" x14ac:dyDescent="0.2">
      <c r="A4" t="s">
        <v>42</v>
      </c>
      <c r="B4">
        <f>COUNTIF('Evaluation by lawyer'!$K$3:$K$102,A4)</f>
        <v>30</v>
      </c>
      <c r="C4" s="4">
        <f>B4/COUNTA('Evaluation by researcher'!$K$3:$K$9102)</f>
        <v>0.3</v>
      </c>
    </row>
    <row r="5" spans="1:15" x14ac:dyDescent="0.2">
      <c r="A5" t="s">
        <v>214</v>
      </c>
      <c r="B5">
        <f>COUNTIF('Evaluation by lawyer'!$K$3:$K$102,A5)</f>
        <v>0</v>
      </c>
      <c r="C5" s="4">
        <f>B5/COUNTA('Evaluation by researcher'!$K$3:$K$92)</f>
        <v>0</v>
      </c>
    </row>
    <row r="6" spans="1:15" x14ac:dyDescent="0.2">
      <c r="A6" t="s">
        <v>452</v>
      </c>
      <c r="B6">
        <v>100</v>
      </c>
    </row>
    <row r="11" spans="1:15" s="61" customFormat="1" x14ac:dyDescent="0.2">
      <c r="A11" s="1"/>
      <c r="B11" s="1"/>
      <c r="C11" s="1"/>
      <c r="D11" s="1"/>
      <c r="E11" s="1"/>
      <c r="F11" s="1"/>
      <c r="G11" s="1"/>
      <c r="H11" s="1"/>
      <c r="I11" s="1"/>
      <c r="J11" s="1"/>
      <c r="K11" s="1"/>
      <c r="L11" s="1"/>
      <c r="M11" s="1"/>
      <c r="N11" s="1"/>
      <c r="O11" s="1"/>
    </row>
    <row r="12" spans="1:15" x14ac:dyDescent="0.2">
      <c r="A12" t="s">
        <v>795</v>
      </c>
    </row>
    <row r="13" spans="1:15" ht="34" x14ac:dyDescent="0.2">
      <c r="A13" s="5" t="s">
        <v>453</v>
      </c>
      <c r="B13" s="5" t="s">
        <v>32</v>
      </c>
      <c r="C13" s="5" t="s">
        <v>43</v>
      </c>
      <c r="D13" s="5" t="s">
        <v>215</v>
      </c>
      <c r="E13" s="5" t="s">
        <v>33</v>
      </c>
      <c r="F13" s="5" t="s">
        <v>44</v>
      </c>
      <c r="G13" s="5" t="s">
        <v>216</v>
      </c>
    </row>
    <row r="14" spans="1:15" ht="17" x14ac:dyDescent="0.2">
      <c r="A14" s="11" t="s">
        <v>14</v>
      </c>
      <c r="B14" s="12">
        <f>COUNTIF('Evaluation by lawyer'!M3:M102,"Strong")</f>
        <v>68</v>
      </c>
      <c r="C14" s="12">
        <f>COUNTIF('Evaluation by lawyer'!M3:M102,"Acceptable")</f>
        <v>31</v>
      </c>
      <c r="D14" s="12">
        <f>COUNTIF('Evaluation by lawyer'!M3:M102,"Weak")</f>
        <v>1</v>
      </c>
      <c r="E14" s="11"/>
      <c r="F14" s="11"/>
      <c r="G14" s="11"/>
    </row>
    <row r="15" spans="1:15" ht="17" x14ac:dyDescent="0.2">
      <c r="A15" s="11" t="s">
        <v>16</v>
      </c>
      <c r="B15" s="12">
        <f>COUNTIF('Evaluation by lawyer'!O3:O102,"Strong")</f>
        <v>91</v>
      </c>
      <c r="C15" s="12">
        <f>COUNTIF('Evaluation by lawyer'!O3:O102,"Acceptable")</f>
        <v>9</v>
      </c>
      <c r="D15" s="12">
        <f>COUNTIF('Evaluation by lawyer'!O4:O102,"Weak")</f>
        <v>0</v>
      </c>
      <c r="E15" s="11"/>
      <c r="F15" s="11"/>
      <c r="G15" s="11"/>
    </row>
    <row r="16" spans="1:15" ht="17" x14ac:dyDescent="0.2">
      <c r="A16" s="11" t="s">
        <v>18</v>
      </c>
      <c r="B16">
        <f>COUNTIF('Evaluation by lawyer'!Q3:Q102,"Strong")</f>
        <v>77</v>
      </c>
      <c r="C16" s="12">
        <f>COUNTIF('Evaluation by lawyer'!Q3:Q102,"Acceptable")</f>
        <v>22</v>
      </c>
      <c r="D16" s="12">
        <f>COUNTIF('Evaluation by lawyer'!Q3:Q102,"Weak")</f>
        <v>1</v>
      </c>
      <c r="E16" s="11"/>
      <c r="F16" s="11"/>
      <c r="G16" s="11"/>
    </row>
    <row r="17" spans="1:7" ht="17" x14ac:dyDescent="0.2">
      <c r="A17" s="11" t="s">
        <v>20</v>
      </c>
      <c r="B17" s="12"/>
      <c r="C17" s="12"/>
      <c r="D17" s="12"/>
      <c r="E17" s="11">
        <f>COUNTIF('Evaluation by lawyer'!S3:S102,"Low Risk")</f>
        <v>79</v>
      </c>
      <c r="F17" s="11">
        <f>COUNTIF('Evaluation by lawyer'!S3:S102,"Medium Risk")</f>
        <v>20</v>
      </c>
      <c r="G17" s="11">
        <f>COUNTIF('Evaluation by lawyer'!S3:S102,"High Risk")</f>
        <v>1</v>
      </c>
    </row>
    <row r="18" spans="1:7" ht="17" x14ac:dyDescent="0.2">
      <c r="A18" s="11" t="s">
        <v>22</v>
      </c>
      <c r="B18" s="12">
        <f>COUNTIF('Evaluation by lawyer'!U3:U102,"Strong")</f>
        <v>76</v>
      </c>
      <c r="C18" s="12">
        <f>COUNTIF('Evaluation by lawyer'!U3:U103,"Acceptable")</f>
        <v>23</v>
      </c>
      <c r="D18" s="12">
        <f>COUNTIF('Evaluation by lawyer'!U3:U104,"Weak")</f>
        <v>1</v>
      </c>
      <c r="E18" s="11"/>
      <c r="F18" s="11"/>
      <c r="G18" s="11"/>
    </row>
  </sheetData>
  <pageMargins left="0.7" right="0.7" top="0.75" bottom="0.75" header="0.3" footer="0.3"/>
</worksheet>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Evaluation by researcher</vt:lpstr>
      <vt:lpstr>Evaluation Result by researcher</vt:lpstr>
      <vt:lpstr>Review Framework</vt:lpstr>
      <vt:lpstr>Evaluation by lawyer</vt:lpstr>
      <vt:lpstr>Evaluation Result by lawyer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Chalisa Sillberg (TAU)</cp:lastModifiedBy>
  <dcterms:created xsi:type="dcterms:W3CDTF">2026-05-15T08:06:17Z</dcterms:created>
  <dcterms:modified xsi:type="dcterms:W3CDTF">2026-09-21T11:08:19Z</dcterms:modified>
</cp:coreProperties>
</file>